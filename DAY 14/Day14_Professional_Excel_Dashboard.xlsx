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935415c54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99c40cab3847b0"/>
    <x:sheet xmlns:r="http://schemas.openxmlformats.org/officeDocument/2006/relationships" name="Raw_Data" sheetId="2" r:id="R56b28cf3aea84f3d"/>
    <x:sheet xmlns:r="http://schemas.openxmlformats.org/officeDocument/2006/relationships" name="Calculations" sheetId="3" r:id="Re2fcc64370724e47"/>
    <x:sheet xmlns:r="http://schemas.openxmlformats.org/officeDocument/2006/relationships" name="Pivot_Summaries" sheetId="4" r:id="R43298763e57f43af"/>
    <x:sheet xmlns:r="http://schemas.openxmlformats.org/officeDocument/2006/relationships" name="Dashboard" sheetId="5" r:id="R70bc4968cc6f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"/>
    <x:numFmt numFmtId="202" formatCode="0"/>
    <x:numFmt numFmtId="203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sz val="11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1" fontId="3" fillId="5" borderId="0" xfId="0" applyNumberFormat="1" applyFont="1" applyFill="1" applyBorder="1" applyAlignment="1">
      <x:alignment horizontal="center"/>
    </x:xf>
    <x:xf numFmtId="201" fontId="3" fillId="5" borderId="1" xfId="0" applyNumberFormat="1" applyFont="1" applyFill="1" applyBorder="1" applyAlignment="1">
      <x:alignment horizontal="center"/>
    </x:xf>
    <x:xf numFmtId="203" fontId="3" fillId="5" borderId="0" xfId="0" applyNumberFormat="1" applyFont="1" applyFill="1" applyBorder="1" applyAlignment="1">
      <x:alignment horizontal="center"/>
    </x:xf>
    <x:xf numFmtId="203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a5f9c821e41c5" /><Relationship Type="http://schemas.openxmlformats.org/officeDocument/2006/relationships/theme" Target="/xl/theme/theme1.xml" Id="R8d7a29fc5a054ee3" /><Relationship Type="http://schemas.openxmlformats.org/officeDocument/2006/relationships/sharedStrings" Target="/xl/sharedStrings.xml" Id="Rce1c83ff79534dd6" /><Relationship Type="http://schemas.openxmlformats.org/officeDocument/2006/relationships/worksheet" Target="/xl/worksheets/sheet1.xml" Id="R1399c40cab3847b0" /><Relationship Type="http://schemas.openxmlformats.org/officeDocument/2006/relationships/worksheet" Target="/xl/worksheets/sheet2.xml" Id="R56b28cf3aea84f3d" /><Relationship Type="http://schemas.openxmlformats.org/officeDocument/2006/relationships/worksheet" Target="/xl/worksheets/sheet3.xml" Id="Re2fcc64370724e47" /><Relationship Type="http://schemas.openxmlformats.org/officeDocument/2006/relationships/worksheet" Target="/xl/worksheets/sheet4.xml" Id="R43298763e57f43af" /><Relationship Type="http://schemas.openxmlformats.org/officeDocument/2006/relationships/worksheet" Target="/xl/worksheets/sheet5.xml" Id="R70bc4968cc6f41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219af840914be4" /><Relationship Type="http://schemas.openxmlformats.org/officeDocument/2006/relationships/chart" Target="/xl/drawings/charts/chart2.xml" Id="R75aa5b9a90fc40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'Dashboard'!$D$11:$D$12</c:f>
              <c:strCache>
                <c:ptCount val="0"/>
              </c:strCache>
            </c:strRef>
          </c:cat>
          <c:val>
            <c:numRef>
              <c:f>'Dashboard'!$E$11:$E$12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219af840914be4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aa5b9a90fc40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Table" displayName="SalesDataTable" ref="A4:L4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304271691e45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45dcb2f91004ee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14 — Professional Excel Dashboard — Capstone</x:v>
      </x:c>
    </x:row>
    <x:row r="2" ht="24" customHeight="1">
      <x:c r="A2" s="18" t="str">
        <x:v>14-day Excel Data Analytics GitHub repository | Day 14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Integrate capture → clean → analyze → visualize → report into one decision-support workbook.</x:v>
      </x:c>
    </x:row>
    <x:row r="6">
      <x:c r="A6" s="34" t="str">
        <x:v>Concepts</x:v>
      </x:c>
      <x:c r="B6" s="32" t="str">
        <x:v>KPI cards, monthly trend, region/category comparison, slicer-ready summaries, validation.</x:v>
      </x:c>
    </x:row>
    <x:row r="7">
      <x:c r="A7" s="34" t="str">
        <x:v>Practice Tasks</x:v>
      </x:c>
      <x:c r="B7" s="32" t="str">
        <x:v>1) Use Raw_Data and Calculations. 2) Validate totals. 3) Build dashboard KPIs and charts. 4) Add slicers/timeline in desktop Excel. 5) Write 3 recommendations.</x:v>
      </x:c>
    </x:row>
    <x:row r="8">
      <x:c r="A8" s="34" t="str">
        <x:v>Source Alignment</x:v>
      </x:c>
      <x:c r="B8" s="32" t="str">
        <x:v>Based on the user-provided Unit1&amp;2.pdf, pages 17–20 (dashboard architecture, integrated project, validation and best practices).</x:v>
      </x:c>
    </x:row>
    <x:row r="9">
      <x:c r="A9" s="34" t="str">
        <x:v>GitHub Commit Suggestion</x:v>
      </x:c>
      <x:c r="B9" s="32" t="str">
        <x:v>Day 14: Professional Excel Dashboard — Capstone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s="40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s="40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s="40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s="40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s="40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s="4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s="40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s="40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s="40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s="40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s="40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s="40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s="40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s="40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s="40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s="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s="40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s="40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s="40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s="40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f304271691e4552"/>
  </x:tableParts>
</x:worksheet>
</file>

<file path=xl/worksheets/sheet3.xml><?xml version="1.0" encoding="utf-8"?>
<x:worksheet xmlns:x="http://schemas.openxmlformats.org/spreadsheetml/2006/main">
  <x:sheetFormatPr defaultRowHeight="15"/>
  <x:sheetData>
    <x:row r="1" ht="28" customHeight="1">
      <x:c r="A1" s="5" t="str">
        <x:v>Calculation Layer</x:v>
      </x:c>
    </x:row>
    <x:row r="2" ht="24" customHeight="1">
      <x:c r="A2" s="18" t="str">
        <x:v>Keep business logic separate from the dashboard.</x:v>
      </x:c>
    </x:row>
    <x:row r="4">
      <x:c r="A4" s="24" t="str">
        <x:v>Order ID</x:v>
      </x:c>
      <x:c r="B4" s="24" t="str">
        <x:v>Revenue</x:v>
      </x:c>
      <x:c r="C4" s="24" t="str">
        <x:v>Profit</x:v>
      </x:c>
      <x:c r="D4" s="24" t="str">
        <x:v>Margin %</x:v>
      </x:c>
      <x:c r="E4" s="24" t="str">
        <x:v>Month</x:v>
      </x:c>
      <x:c r="F4" s="24" t="str">
        <x:v>Region</x:v>
      </x:c>
      <x:c r="G4" s="24" t="str">
        <x:v>Category</x:v>
      </x:c>
      <x:c r="H4" s="24" t="str">
        <x:v>Status</x:v>
      </x:c>
    </x:row>
    <x:row r="5">
      <x:c r="A5" t="str">
        <x:f>Raw_Data!A5</x:f>
        <x:v>O101</x:v>
      </x:c>
      <x:c r="B5" s="38" t="n">
        <x:f>Raw_Data!I5</x:f>
        <x:v>110000</x:v>
      </x:c>
      <x:c r="C5" s="38" t="n">
        <x:f>Raw_Data!L5</x:f>
        <x:v>16000</x:v>
      </x:c>
      <x:c r="D5" s="42" t="n">
        <x:f>IFERROR(C5/B5,0)</x:f>
        <x:v>0.14545454545454545</x:v>
      </x:c>
      <x:c r="E5" t="str">
        <x:f>TEXT(Raw_Data!B5,"mmm-yy")</x:f>
        <x:v>Jan-26</x:v>
      </x:c>
      <x:c r="F5" t="str">
        <x:f>Raw_Data!C5</x:f>
        <x:v>North</x:v>
      </x:c>
      <x:c r="G5" t="str">
        <x:f>Raw_Data!D5</x:f>
        <x:v>Electronics</x:v>
      </x:c>
      <x:c r="H5" t="str">
        <x:f>Raw_Data!J5</x:f>
        <x:v>Completed</x:v>
      </x:c>
    </x:row>
    <x:row r="6">
      <x:c r="A6" t="str">
        <x:f>Raw_Data!A6</x:f>
        <x:v>O102</x:v>
      </x:c>
      <x:c r="B6" s="38" t="n">
        <x:f>Raw_Data!I6</x:f>
        <x:v>6000</x:v>
      </x:c>
      <x:c r="C6" s="38" t="n">
        <x:f>Raw_Data!L6</x:f>
        <x:v>2500</x:v>
      </x:c>
      <x:c r="D6" s="42" t="n">
        <x:f>IFERROR(C6/B6,0)</x:f>
        <x:v>0.4166666666666667</x:v>
      </x:c>
      <x:c r="E6" t="str">
        <x:f>TEXT(Raw_Data!B6,"mmm-yy")</x:f>
        <x:v>Jan-26</x:v>
      </x:c>
      <x:c r="F6" t="str">
        <x:f>Raw_Data!C6</x:f>
        <x:v>South</x:v>
      </x:c>
      <x:c r="G6" t="str">
        <x:f>Raw_Data!D6</x:f>
        <x:v>Accessories</x:v>
      </x:c>
      <x:c r="H6" t="str">
        <x:f>Raw_Data!J6</x:f>
        <x:v>Completed</x:v>
      </x:c>
    </x:row>
    <x:row r="7">
      <x:c r="A7" t="str">
        <x:f>Raw_Data!A7</x:f>
        <x:v>O103</x:v>
      </x:c>
      <x:c r="B7" s="38" t="n">
        <x:f>Raw_Data!I7</x:f>
        <x:v>7500</x:v>
      </x:c>
      <x:c r="C7" s="38" t="n">
        <x:f>Raw_Data!L7</x:f>
        <x:v>3000</x:v>
      </x:c>
      <x:c r="D7" s="42" t="n">
        <x:f>IFERROR(C7/B7,0)</x:f>
        <x:v>0.4</x:v>
      </x:c>
      <x:c r="E7" t="str">
        <x:f>TEXT(Raw_Data!B7,"mmm-yy")</x:f>
        <x:v>Jan-26</x:v>
      </x:c>
      <x:c r="F7" t="str">
        <x:f>Raw_Data!C7</x:f>
        <x:v>North</x:v>
      </x:c>
      <x:c r="G7" t="str">
        <x:f>Raw_Data!D7</x:f>
        <x:v>Accessories</x:v>
      </x:c>
      <x:c r="H7" t="str">
        <x:f>Raw_Data!J7</x:f>
        <x:v>Pending</x:v>
      </x:c>
    </x:row>
    <x:row r="8">
      <x:c r="A8" t="str">
        <x:f>Raw_Data!A8</x:f>
        <x:v>O104</x:v>
      </x:c>
      <x:c r="B8" s="38" t="n">
        <x:f>Raw_Data!I8</x:f>
        <x:v>55000</x:v>
      </x:c>
      <x:c r="C8" s="38" t="n">
        <x:f>Raw_Data!L8</x:f>
        <x:v>8000</x:v>
      </x:c>
      <x:c r="D8" s="42" t="n">
        <x:f>IFERROR(C8/B8,0)</x:f>
        <x:v>0.14545454545454545</x:v>
      </x:c>
      <x:c r="E8" t="str">
        <x:f>TEXT(Raw_Data!B8,"mmm-yy")</x:f>
        <x:v>Feb-26</x:v>
      </x:c>
      <x:c r="F8" t="str">
        <x:f>Raw_Data!C8</x:f>
        <x:v>West</x:v>
      </x:c>
      <x:c r="G8" t="str">
        <x:f>Raw_Data!D8</x:f>
        <x:v>Electronics</x:v>
      </x:c>
      <x:c r="H8" t="str">
        <x:f>Raw_Data!J8</x:f>
        <x:v>Completed</x:v>
      </x:c>
    </x:row>
    <x:row r="9">
      <x:c r="A9" t="str">
        <x:f>Raw_Data!A9</x:f>
        <x:v>O105</x:v>
      </x:c>
      <x:c r="B9" s="38" t="n">
        <x:f>Raw_Data!I9</x:f>
        <x:v>36000</x:v>
      </x:c>
      <x:c r="C9" s="38" t="n">
        <x:f>Raw_Data!L9</x:f>
        <x:v>7000</x:v>
      </x:c>
      <x:c r="D9" s="42" t="n">
        <x:f>IFERROR(C9/B9,0)</x:f>
        <x:v>0.19444444444444445</x:v>
      </x:c>
      <x:c r="E9" t="str">
        <x:f>TEXT(Raw_Data!B9,"mmm-yy")</x:f>
        <x:v>Feb-26</x:v>
      </x:c>
      <x:c r="F9" t="str">
        <x:f>Raw_Data!C9</x:f>
        <x:v>South</x:v>
      </x:c>
      <x:c r="G9" t="str">
        <x:f>Raw_Data!D9</x:f>
        <x:v>Electronics</x:v>
      </x:c>
      <x:c r="H9" t="str">
        <x:f>Raw_Data!J9</x:f>
        <x:v>Completed</x:v>
      </x:c>
    </x:row>
    <x:row r="10">
      <x:c r="A10" t="str">
        <x:f>Raw_Data!A10</x:f>
        <x:v>O106</x:v>
      </x:c>
      <x:c r="B10" s="38" t="n">
        <x:f>Raw_Data!I10</x:f>
        <x:v>12000</x:v>
      </x:c>
      <x:c r="C10" s="38" t="n">
        <x:f>Raw_Data!L10</x:f>
        <x:v>5000</x:v>
      </x:c>
      <x:c r="D10" s="42" t="n">
        <x:f>IFERROR(C10/B10,0)</x:f>
        <x:v>0.4166666666666667</x:v>
      </x:c>
      <x:c r="E10" t="str">
        <x:f>TEXT(Raw_Data!B10,"mmm-yy")</x:f>
        <x:v>Mar-26</x:v>
      </x:c>
      <x:c r="F10" t="str">
        <x:f>Raw_Data!C10</x:f>
        <x:v>North</x:v>
      </x:c>
      <x:c r="G10" t="str">
        <x:f>Raw_Data!D10</x:f>
        <x:v>Accessories</x:v>
      </x:c>
      <x:c r="H10" t="str">
        <x:f>Raw_Data!J10</x:f>
        <x:v>Completed</x:v>
      </x:c>
    </x:row>
    <x:row r="11">
      <x:c r="A11" t="str">
        <x:f>Raw_Data!A11</x:f>
        <x:v>O107</x:v>
      </x:c>
      <x:c r="B11" s="38" t="n">
        <x:f>Raw_Data!I11</x:f>
        <x:v>10000</x:v>
      </x:c>
      <x:c r="C11" s="38" t="n">
        <x:f>Raw_Data!L11</x:f>
        <x:v>4000</x:v>
      </x:c>
      <x:c r="D11" s="42" t="n">
        <x:f>IFERROR(C11/B11,0)</x:f>
        <x:v>0.4</x:v>
      </x:c>
      <x:c r="E11" t="str">
        <x:f>TEXT(Raw_Data!B11,"mmm-yy")</x:f>
        <x:v>Mar-26</x:v>
      </x:c>
      <x:c r="F11" t="str">
        <x:f>Raw_Data!C11</x:f>
        <x:v>West</x:v>
      </x:c>
      <x:c r="G11" t="str">
        <x:f>Raw_Data!D11</x:f>
        <x:v>Accessories</x:v>
      </x:c>
      <x:c r="H11" t="str">
        <x:f>Raw_Data!J11</x:f>
        <x:v>Pending</x:v>
      </x:c>
    </x:row>
    <x:row r="12">
      <x:c r="A12" t="str">
        <x:f>Raw_Data!A12</x:f>
        <x:v>O108</x:v>
      </x:c>
      <x:c r="B12" s="38" t="n">
        <x:f>Raw_Data!I12</x:f>
        <x:v>110000</x:v>
      </x:c>
      <x:c r="C12" s="38" t="n">
        <x:f>Raw_Data!L12</x:f>
        <x:v>16000</x:v>
      </x:c>
      <x:c r="D12" s="42" t="n">
        <x:f>IFERROR(C12/B12,0)</x:f>
        <x:v>0.14545454545454545</x:v>
      </x:c>
      <x:c r="E12" t="str">
        <x:f>TEXT(Raw_Data!B12,"mmm-yy")</x:f>
        <x:v>Apr-26</x:v>
      </x:c>
      <x:c r="F12" t="str">
        <x:f>Raw_Data!C12</x:f>
        <x:v>East</x:v>
      </x:c>
      <x:c r="G12" t="str">
        <x:f>Raw_Data!D12</x:f>
        <x:v>Electronics</x:v>
      </x:c>
      <x:c r="H12" t="str">
        <x:f>Raw_Data!J12</x:f>
        <x:v>Completed</x:v>
      </x:c>
    </x:row>
    <x:row r="13">
      <x:c r="A13" t="str">
        <x:f>Raw_Data!A13</x:f>
        <x:v>O009</x:v>
      </x:c>
      <x:c r="B13" s="38" t="n">
        <x:f>Raw_Data!I13</x:f>
        <x:v>55000</x:v>
      </x:c>
      <x:c r="C13" s="38" t="n">
        <x:f>Raw_Data!L13</x:f>
        <x:v>8000</x:v>
      </x:c>
      <x:c r="D13" s="42" t="n">
        <x:f>IFERROR(C13/B13,0)</x:f>
        <x:v>0.14545454545454545</x:v>
      </x:c>
      <x:c r="E13" t="str">
        <x:f>TEXT(Raw_Data!B13,"mmm-yy")</x:f>
        <x:v>Apr-26</x:v>
      </x:c>
      <x:c r="F13" t="str">
        <x:f>Raw_Data!C13</x:f>
        <x:v>North</x:v>
      </x:c>
      <x:c r="G13" t="str">
        <x:f>Raw_Data!D13</x:f>
        <x:v>Electronics</x:v>
      </x:c>
      <x:c r="H13" t="str">
        <x:f>Raw_Data!J13</x:f>
        <x:v>Completed</x:v>
      </x:c>
    </x:row>
    <x:row r="14">
      <x:c r="A14" t="str">
        <x:f>Raw_Data!A14</x:f>
        <x:v>O010</x:v>
      </x:c>
      <x:c r="B14" s="38" t="n">
        <x:f>Raw_Data!I14</x:f>
        <x:v>2400</x:v>
      </x:c>
      <x:c r="C14" s="38" t="n">
        <x:f>Raw_Data!L14</x:f>
        <x:v>1000</x:v>
      </x:c>
      <x:c r="D14" s="42" t="n">
        <x:f>IFERROR(C14/B14,0)</x:f>
        <x:v>0.4166666666666667</x:v>
      </x:c>
      <x:c r="E14" t="str">
        <x:f>TEXT(Raw_Data!B14,"mmm-yy")</x:f>
        <x:v>Apr-26</x:v>
      </x:c>
      <x:c r="F14" t="str">
        <x:f>Raw_Data!C14</x:f>
        <x:v>South</x:v>
      </x:c>
      <x:c r="G14" t="str">
        <x:f>Raw_Data!D14</x:f>
        <x:v>Accessories</x:v>
      </x:c>
      <x:c r="H14" t="str">
        <x:f>Raw_Data!J14</x:f>
        <x:v>Pending</x:v>
      </x:c>
    </x:row>
    <x:row r="15">
      <x:c r="A15" t="str">
        <x:f>Raw_Data!A15</x:f>
        <x:v>O011</x:v>
      </x:c>
      <x:c r="B15" s="38" t="n">
        <x:f>Raw_Data!I15</x:f>
        <x:v>7500</x:v>
      </x:c>
      <x:c r="C15" s="38" t="n">
        <x:f>Raw_Data!L15</x:f>
        <x:v>3000</x:v>
      </x:c>
      <x:c r="D15" s="42" t="n">
        <x:f>IFERROR(C15/B15,0)</x:f>
        <x:v>0.4</x:v>
      </x:c>
      <x:c r="E15" t="str">
        <x:f>TEXT(Raw_Data!B15,"mmm-yy")</x:f>
        <x:v>Apr-26</x:v>
      </x:c>
      <x:c r="F15" t="str">
        <x:f>Raw_Data!C15</x:f>
        <x:v>East</x:v>
      </x:c>
      <x:c r="G15" t="str">
        <x:f>Raw_Data!D15</x:f>
        <x:v>Accessories</x:v>
      </x:c>
      <x:c r="H15" t="str">
        <x:f>Raw_Data!J15</x:f>
        <x:v>Cancelled</x:v>
      </x:c>
    </x:row>
    <x:row r="16">
      <x:c r="A16" t="str">
        <x:f>Raw_Data!A16</x:f>
        <x:v>O012</x:v>
      </x:c>
      <x:c r="B16" s="38" t="n">
        <x:f>Raw_Data!I16</x:f>
        <x:v>72000</x:v>
      </x:c>
      <x:c r="C16" s="38" t="n">
        <x:f>Raw_Data!L16</x:f>
        <x:v>14000</x:v>
      </x:c>
      <x:c r="D16" s="42" t="n">
        <x:f>IFERROR(C16/B16,0)</x:f>
        <x:v>0.19444444444444445</x:v>
      </x:c>
      <x:c r="E16" t="str">
        <x:f>TEXT(Raw_Data!B16,"mmm-yy")</x:f>
        <x:v>Apr-26</x:v>
      </x:c>
      <x:c r="F16" t="str">
        <x:f>Raw_Data!C16</x:f>
        <x:v>West</x:v>
      </x:c>
      <x:c r="G16" t="str">
        <x:f>Raw_Data!D16</x:f>
        <x:v>Electronics</x:v>
      </x:c>
      <x:c r="H16" t="str">
        <x:f>Raw_Data!J16</x:f>
        <x:v>Completed</x:v>
      </x:c>
    </x:row>
    <x:row r="17">
      <x:c r="A17" t="str">
        <x:f>Raw_Data!A17</x:f>
        <x:v>O013</x:v>
      </x:c>
      <x:c r="B17" s="38" t="n">
        <x:f>Raw_Data!I17</x:f>
        <x:v>17500</x:v>
      </x:c>
      <x:c r="C17" s="38" t="n">
        <x:f>Raw_Data!L17</x:f>
        <x:v>6500</x:v>
      </x:c>
      <x:c r="D17" s="42" t="n">
        <x:f>IFERROR(C17/B17,0)</x:f>
        <x:v>0.37142857142857144</x:v>
      </x:c>
      <x:c r="E17" t="str">
        <x:f>TEXT(Raw_Data!B17,"mmm-yy")</x:f>
        <x:v>Apr-26</x:v>
      </x:c>
      <x:c r="F17" t="str">
        <x:f>Raw_Data!C17</x:f>
        <x:v>North</x:v>
      </x:c>
      <x:c r="G17" t="str">
        <x:f>Raw_Data!D17</x:f>
        <x:v>Accessories</x:v>
      </x:c>
      <x:c r="H17" t="str">
        <x:f>Raw_Data!J17</x:f>
        <x:v>Pending</x:v>
      </x:c>
    </x:row>
    <x:row r="18">
      <x:c r="A18" t="str">
        <x:f>Raw_Data!A18</x:f>
        <x:v>O014</x:v>
      </x:c>
      <x:c r="B18" s="38" t="n">
        <x:f>Raw_Data!I18</x:f>
        <x:v>72000</x:v>
      </x:c>
      <x:c r="C18" s="38" t="n">
        <x:f>Raw_Data!L18</x:f>
        <x:v>15000</x:v>
      </x:c>
      <x:c r="D18" s="42" t="n">
        <x:f>IFERROR(C18/B18,0)</x:f>
        <x:v>0.20833333333333334</x:v>
      </x:c>
      <x:c r="E18" t="str">
        <x:f>TEXT(Raw_Data!B18,"mmm-yy")</x:f>
        <x:v>May-26</x:v>
      </x:c>
      <x:c r="F18" t="str">
        <x:f>Raw_Data!C18</x:f>
        <x:v>South</x:v>
      </x:c>
      <x:c r="G18" t="str">
        <x:f>Raw_Data!D18</x:f>
        <x:v>Electronics</x:v>
      </x:c>
      <x:c r="H18" t="str">
        <x:f>Raw_Data!J18</x:f>
        <x:v>Cancelled</x:v>
      </x:c>
    </x:row>
    <x:row r="19">
      <x:c r="A19" t="str">
        <x:f>Raw_Data!A19</x:f>
        <x:v>O015</x:v>
      </x:c>
      <x:c r="B19" s="38" t="n">
        <x:f>Raw_Data!I19</x:f>
        <x:v>55000</x:v>
      </x:c>
      <x:c r="C19" s="38" t="n">
        <x:f>Raw_Data!L19</x:f>
        <x:v>8000</x:v>
      </x:c>
      <x:c r="D19" s="42" t="n">
        <x:f>IFERROR(C19/B19,0)</x:f>
        <x:v>0.14545454545454545</x:v>
      </x:c>
      <x:c r="E19" t="str">
        <x:f>TEXT(Raw_Data!B19,"mmm-yy")</x:f>
        <x:v>May-26</x:v>
      </x:c>
      <x:c r="F19" t="str">
        <x:f>Raw_Data!C19</x:f>
        <x:v>East</x:v>
      </x:c>
      <x:c r="G19" t="str">
        <x:f>Raw_Data!D19</x:f>
        <x:v>Electronics</x:v>
      </x:c>
      <x:c r="H19" t="str">
        <x:f>Raw_Data!J19</x:f>
        <x:v>Completed</x:v>
      </x:c>
    </x:row>
    <x:row r="20">
      <x:c r="A20" t="str">
        <x:f>Raw_Data!A20</x:f>
        <x:v>O016</x:v>
      </x:c>
      <x:c r="B20" s="38" t="n">
        <x:f>Raw_Data!I20</x:f>
        <x:v>2400</x:v>
      </x:c>
      <x:c r="C20" s="38" t="n">
        <x:f>Raw_Data!L20</x:f>
        <x:v>1000</x:v>
      </x:c>
      <x:c r="D20" s="42" t="n">
        <x:f>IFERROR(C20/B20,0)</x:f>
        <x:v>0.4166666666666667</x:v>
      </x:c>
      <x:c r="E20" t="str">
        <x:f>TEXT(Raw_Data!B20,"mmm-yy")</x:f>
        <x:v>May-26</x:v>
      </x:c>
      <x:c r="F20" t="str">
        <x:f>Raw_Data!C20</x:f>
        <x:v>West</x:v>
      </x:c>
      <x:c r="G20" t="str">
        <x:f>Raw_Data!D20</x:f>
        <x:v>Accessories</x:v>
      </x:c>
      <x:c r="H20" t="str">
        <x:f>Raw_Data!J20</x:f>
        <x:v>Pending</x:v>
      </x:c>
    </x:row>
    <x:row r="21">
      <x:c r="A21" t="str">
        <x:f>Raw_Data!A21</x:f>
        <x:v>O017</x:v>
      </x:c>
      <x:c r="B21" s="38" t="n">
        <x:f>Raw_Data!I21</x:f>
        <x:v>7500</x:v>
      </x:c>
      <x:c r="C21" s="38" t="n">
        <x:f>Raw_Data!L21</x:f>
        <x:v>3000</x:v>
      </x:c>
      <x:c r="D21" s="42" t="n">
        <x:f>IFERROR(C21/B21,0)</x:f>
        <x:v>0.4</x:v>
      </x:c>
      <x:c r="E21" t="str">
        <x:f>TEXT(Raw_Data!B21,"mmm-yy")</x:f>
        <x:v>May-26</x:v>
      </x:c>
      <x:c r="F21" t="str">
        <x:f>Raw_Data!C21</x:f>
        <x:v>North</x:v>
      </x:c>
      <x:c r="G21" t="str">
        <x:f>Raw_Data!D21</x:f>
        <x:v>Accessories</x:v>
      </x:c>
      <x:c r="H21" t="str">
        <x:f>Raw_Data!J21</x:f>
        <x:v>Cancelled</x:v>
      </x:c>
    </x:row>
    <x:row r="22">
      <x:c r="A22" t="str">
        <x:f>Raw_Data!A22</x:f>
        <x:v>O018</x:v>
      </x:c>
      <x:c r="B22" s="38" t="n">
        <x:f>Raw_Data!I22</x:f>
        <x:v>72000</x:v>
      </x:c>
      <x:c r="C22" s="38" t="n">
        <x:f>Raw_Data!L22</x:f>
        <x:v>14000</x:v>
      </x:c>
      <x:c r="D22" s="42" t="n">
        <x:f>IFERROR(C22/B22,0)</x:f>
        <x:v>0.19444444444444445</x:v>
      </x:c>
      <x:c r="E22" t="str">
        <x:f>TEXT(Raw_Data!B22,"mmm-yy")</x:f>
        <x:v>May-26</x:v>
      </x:c>
      <x:c r="F22" t="str">
        <x:f>Raw_Data!C22</x:f>
        <x:v>South</x:v>
      </x:c>
      <x:c r="G22" t="str">
        <x:f>Raw_Data!D22</x:f>
        <x:v>Electronics</x:v>
      </x:c>
      <x:c r="H22" t="str">
        <x:f>Raw_Data!J22</x:f>
        <x:v>Completed</x:v>
      </x:c>
    </x:row>
    <x:row r="23">
      <x:c r="A23" t="str">
        <x:f>Raw_Data!A23</x:f>
        <x:v>O019</x:v>
      </x:c>
      <x:c r="B23" s="38" t="n">
        <x:f>Raw_Data!I23</x:f>
        <x:v>17500</x:v>
      </x:c>
      <x:c r="C23" s="38" t="n">
        <x:f>Raw_Data!L23</x:f>
        <x:v>6500</x:v>
      </x:c>
      <x:c r="D23" s="42" t="n">
        <x:f>IFERROR(C23/B23,0)</x:f>
        <x:v>0.37142857142857144</x:v>
      </x:c>
      <x:c r="E23" t="str">
        <x:f>TEXT(Raw_Data!B23,"mmm-yy")</x:f>
        <x:v>May-26</x:v>
      </x:c>
      <x:c r="F23" t="str">
        <x:f>Raw_Data!C23</x:f>
        <x:v>East</x:v>
      </x:c>
      <x:c r="G23" t="str">
        <x:f>Raw_Data!D23</x:f>
        <x:v>Accessories</x:v>
      </x:c>
      <x:c r="H23" t="str">
        <x:f>Raw_Data!J23</x:f>
        <x:v>Pending</x:v>
      </x:c>
    </x:row>
    <x:row r="24">
      <x:c r="A24" t="str">
        <x:f>Raw_Data!A24</x:f>
        <x:v>O020</x:v>
      </x:c>
      <x:c r="B24" s="38" t="n">
        <x:f>Raw_Data!I24</x:f>
        <x:v>72000</x:v>
      </x:c>
      <x:c r="C24" s="38" t="n">
        <x:f>Raw_Data!L24</x:f>
        <x:v>15000</x:v>
      </x:c>
      <x:c r="D24" s="42" t="n">
        <x:f>IFERROR(C24/B24,0)</x:f>
        <x:v>0.20833333333333334</x:v>
      </x:c>
      <x:c r="E24" t="str">
        <x:f>TEXT(Raw_Data!B24,"mmm-yy")</x:f>
        <x:v>Jun-26</x:v>
      </x:c>
      <x:c r="F24" t="str">
        <x:f>Raw_Data!C24</x:f>
        <x:v>West</x:v>
      </x:c>
      <x:c r="G24" t="str">
        <x:f>Raw_Data!D24</x:f>
        <x:v>Electronics</x:v>
      </x:c>
      <x:c r="H24" t="str">
        <x:f>Raw_Data!J24</x:f>
        <x:v>Cancelled</x:v>
      </x:c>
    </x:row>
    <x:row r="25">
      <x:c r="A25" t="str">
        <x:f>Raw_Data!A25</x:f>
        <x:v>O021</x:v>
      </x:c>
      <x:c r="B25" s="38" t="n">
        <x:f>Raw_Data!I25</x:f>
        <x:v>55000</x:v>
      </x:c>
      <x:c r="C25" s="38" t="n">
        <x:f>Raw_Data!L25</x:f>
        <x:v>8000</x:v>
      </x:c>
      <x:c r="D25" s="42" t="n">
        <x:f>IFERROR(C25/B25,0)</x:f>
        <x:v>0.14545454545454545</x:v>
      </x:c>
      <x:c r="E25" t="str">
        <x:f>TEXT(Raw_Data!B25,"mmm-yy")</x:f>
        <x:v>Jun-26</x:v>
      </x:c>
      <x:c r="F25" t="str">
        <x:f>Raw_Data!C25</x:f>
        <x:v>North</x:v>
      </x:c>
      <x:c r="G25" t="str">
        <x:f>Raw_Data!D25</x:f>
        <x:v>Electronics</x:v>
      </x:c>
      <x:c r="H25" t="str">
        <x:f>Raw_Data!J25</x:f>
        <x:v>Completed</x:v>
      </x:c>
    </x:row>
    <x:row r="26">
      <x:c r="A26" t="str">
        <x:f>Raw_Data!A26</x:f>
        <x:v>O022</x:v>
      </x:c>
      <x:c r="B26" s="38" t="n">
        <x:f>Raw_Data!I26</x:f>
        <x:v>2400</x:v>
      </x:c>
      <x:c r="C26" s="38" t="n">
        <x:f>Raw_Data!L26</x:f>
        <x:v>1000</x:v>
      </x:c>
      <x:c r="D26" s="42" t="n">
        <x:f>IFERROR(C26/B26,0)</x:f>
        <x:v>0.4166666666666667</x:v>
      </x:c>
      <x:c r="E26" t="str">
        <x:f>TEXT(Raw_Data!B26,"mmm-yy")</x:f>
        <x:v>Jun-26</x:v>
      </x:c>
      <x:c r="F26" t="str">
        <x:f>Raw_Data!C26</x:f>
        <x:v>South</x:v>
      </x:c>
      <x:c r="G26" t="str">
        <x:f>Raw_Data!D26</x:f>
        <x:v>Accessories</x:v>
      </x:c>
      <x:c r="H26" t="str">
        <x:f>Raw_Data!J26</x:f>
        <x:v>Pending</x:v>
      </x:c>
    </x:row>
    <x:row r="27">
      <x:c r="A27" t="str">
        <x:f>Raw_Data!A27</x:f>
        <x:v>O023</x:v>
      </x:c>
      <x:c r="B27" s="38" t="n">
        <x:f>Raw_Data!I27</x:f>
        <x:v>7500</x:v>
      </x:c>
      <x:c r="C27" s="38" t="n">
        <x:f>Raw_Data!L27</x:f>
        <x:v>3000</x:v>
      </x:c>
      <x:c r="D27" s="42" t="n">
        <x:f>IFERROR(C27/B27,0)</x:f>
        <x:v>0.4</x:v>
      </x:c>
      <x:c r="E27" t="str">
        <x:f>TEXT(Raw_Data!B27,"mmm-yy")</x:f>
        <x:v>Jun-26</x:v>
      </x:c>
      <x:c r="F27" t="str">
        <x:f>Raw_Data!C27</x:f>
        <x:v>East</x:v>
      </x:c>
      <x:c r="G27" t="str">
        <x:f>Raw_Data!D27</x:f>
        <x:v>Accessories</x:v>
      </x:c>
      <x:c r="H27" t="str">
        <x:f>Raw_Data!J27</x:f>
        <x:v>Cancelled</x:v>
      </x:c>
    </x:row>
    <x:row r="28">
      <x:c r="A28" t="str">
        <x:f>Raw_Data!A28</x:f>
        <x:v>O024</x:v>
      </x:c>
      <x:c r="B28" s="38" t="n">
        <x:f>Raw_Data!I28</x:f>
        <x:v>72000</x:v>
      </x:c>
      <x:c r="C28" s="38" t="n">
        <x:f>Raw_Data!L28</x:f>
        <x:v>14000</x:v>
      </x:c>
      <x:c r="D28" s="42" t="n">
        <x:f>IFERROR(C28/B28,0)</x:f>
        <x:v>0.19444444444444445</x:v>
      </x:c>
      <x:c r="E28" t="str">
        <x:f>TEXT(Raw_Data!B28,"mmm-yy")</x:f>
        <x:v>Jun-26</x:v>
      </x:c>
      <x:c r="F28" t="str">
        <x:f>Raw_Data!C28</x:f>
        <x:v>West</x:v>
      </x:c>
      <x:c r="G28" t="str">
        <x:f>Raw_Data!D28</x:f>
        <x:v>Electronics</x:v>
      </x:c>
      <x:c r="H28" t="str">
        <x:f>Raw_Data!J28</x:f>
        <x:v>Completed</x:v>
      </x:c>
    </x:row>
    <x:row r="29">
      <x:c r="A29" t="str">
        <x:f>Raw_Data!A29</x:f>
        <x:v>O025</x:v>
      </x:c>
      <x:c r="B29" s="38" t="n">
        <x:f>Raw_Data!I29</x:f>
        <x:v>17500</x:v>
      </x:c>
      <x:c r="C29" s="38" t="n">
        <x:f>Raw_Data!L29</x:f>
        <x:v>6500</x:v>
      </x:c>
      <x:c r="D29" s="42" t="n">
        <x:f>IFERROR(C29/B29,0)</x:f>
        <x:v>0.37142857142857144</x:v>
      </x:c>
      <x:c r="E29" t="str">
        <x:f>TEXT(Raw_Data!B29,"mmm-yy")</x:f>
        <x:v>Jun-26</x:v>
      </x:c>
      <x:c r="F29" t="str">
        <x:f>Raw_Data!C29</x:f>
        <x:v>North</x:v>
      </x:c>
      <x:c r="G29" t="str">
        <x:f>Raw_Data!D29</x:f>
        <x:v>Accessories</x:v>
      </x:c>
      <x:c r="H29" t="str">
        <x:f>Raw_Data!J29</x:f>
        <x:v>Pending</x:v>
      </x:c>
    </x:row>
    <x:row r="30">
      <x:c r="A30" t="str">
        <x:f>Raw_Data!A30</x:f>
        <x:v>O026</x:v>
      </x:c>
      <x:c r="B30" s="38" t="n">
        <x:f>Raw_Data!I30</x:f>
        <x:v>72000</x:v>
      </x:c>
      <x:c r="C30" s="38" t="n">
        <x:f>Raw_Data!L30</x:f>
        <x:v>15000</x:v>
      </x:c>
      <x:c r="D30" s="42" t="n">
        <x:f>IFERROR(C30/B30,0)</x:f>
        <x:v>0.20833333333333334</x:v>
      </x:c>
      <x:c r="E30" t="str">
        <x:f>TEXT(Raw_Data!B30,"mmm-yy")</x:f>
        <x:v>Jul-26</x:v>
      </x:c>
      <x:c r="F30" t="str">
        <x:f>Raw_Data!C30</x:f>
        <x:v>South</x:v>
      </x:c>
      <x:c r="G30" t="str">
        <x:f>Raw_Data!D30</x:f>
        <x:v>Electronics</x:v>
      </x:c>
      <x:c r="H30" t="str">
        <x:f>Raw_Data!J30</x:f>
        <x:v>Cancelled</x:v>
      </x:c>
    </x:row>
    <x:row r="31">
      <x:c r="A31" t="str">
        <x:f>Raw_Data!A31</x:f>
        <x:v>O027</x:v>
      </x:c>
      <x:c r="B31" s="38" t="n">
        <x:f>Raw_Data!I31</x:f>
        <x:v>55000</x:v>
      </x:c>
      <x:c r="C31" s="38" t="n">
        <x:f>Raw_Data!L31</x:f>
        <x:v>8000</x:v>
      </x:c>
      <x:c r="D31" s="42" t="n">
        <x:f>IFERROR(C31/B31,0)</x:f>
        <x:v>0.14545454545454545</x:v>
      </x:c>
      <x:c r="E31" t="str">
        <x:f>TEXT(Raw_Data!B31,"mmm-yy")</x:f>
        <x:v>Jul-26</x:v>
      </x:c>
      <x:c r="F31" t="str">
        <x:f>Raw_Data!C31</x:f>
        <x:v>East</x:v>
      </x:c>
      <x:c r="G31" t="str">
        <x:f>Raw_Data!D31</x:f>
        <x:v>Electronics</x:v>
      </x:c>
      <x:c r="H31" t="str">
        <x:f>Raw_Data!J31</x:f>
        <x:v>Completed</x:v>
      </x:c>
    </x:row>
    <x:row r="32">
      <x:c r="A32" t="str">
        <x:f>Raw_Data!A32</x:f>
        <x:v>O028</x:v>
      </x:c>
      <x:c r="B32" s="38" t="n">
        <x:f>Raw_Data!I32</x:f>
        <x:v>2400</x:v>
      </x:c>
      <x:c r="C32" s="38" t="n">
        <x:f>Raw_Data!L32</x:f>
        <x:v>1000</x:v>
      </x:c>
      <x:c r="D32" s="42" t="n">
        <x:f>IFERROR(C32/B32,0)</x:f>
        <x:v>0.4166666666666667</x:v>
      </x:c>
      <x:c r="E32" t="str">
        <x:f>TEXT(Raw_Data!B32,"mmm-yy")</x:f>
        <x:v>Jul-26</x:v>
      </x:c>
      <x:c r="F32" t="str">
        <x:f>Raw_Data!C32</x:f>
        <x:v>West</x:v>
      </x:c>
      <x:c r="G32" t="str">
        <x:f>Raw_Data!D32</x:f>
        <x:v>Accessories</x:v>
      </x:c>
      <x:c r="H32" t="str">
        <x:f>Raw_Data!J32</x:f>
        <x:v>Pending</x:v>
      </x:c>
    </x:row>
    <x:row r="33">
      <x:c r="A33" t="str">
        <x:f>Raw_Data!A33</x:f>
        <x:v>O029</x:v>
      </x:c>
      <x:c r="B33" s="38" t="n">
        <x:f>Raw_Data!I33</x:f>
        <x:v>7500</x:v>
      </x:c>
      <x:c r="C33" s="38" t="n">
        <x:f>Raw_Data!L33</x:f>
        <x:v>3000</x:v>
      </x:c>
      <x:c r="D33" s="42" t="n">
        <x:f>IFERROR(C33/B33,0)</x:f>
        <x:v>0.4</x:v>
      </x:c>
      <x:c r="E33" t="str">
        <x:f>TEXT(Raw_Data!B33,"mmm-yy")</x:f>
        <x:v>Jul-26</x:v>
      </x:c>
      <x:c r="F33" t="str">
        <x:f>Raw_Data!C33</x:f>
        <x:v>North</x:v>
      </x:c>
      <x:c r="G33" t="str">
        <x:f>Raw_Data!D33</x:f>
        <x:v>Accessories</x:v>
      </x:c>
      <x:c r="H33" t="str">
        <x:f>Raw_Data!J33</x:f>
        <x:v>Cancelled</x:v>
      </x:c>
    </x:row>
    <x:row r="34">
      <x:c r="A34" t="str">
        <x:f>Raw_Data!A34</x:f>
        <x:v>O030</x:v>
      </x:c>
      <x:c r="B34" s="38" t="n">
        <x:f>Raw_Data!I34</x:f>
        <x:v>72000</x:v>
      </x:c>
      <x:c r="C34" s="38" t="n">
        <x:f>Raw_Data!L34</x:f>
        <x:v>14000</x:v>
      </x:c>
      <x:c r="D34" s="42" t="n">
        <x:f>IFERROR(C34/B34,0)</x:f>
        <x:v>0.19444444444444445</x:v>
      </x:c>
      <x:c r="E34" t="str">
        <x:f>TEXT(Raw_Data!B34,"mmm-yy")</x:f>
        <x:v>Jul-26</x:v>
      </x:c>
      <x:c r="F34" t="str">
        <x:f>Raw_Data!C34</x:f>
        <x:v>South</x:v>
      </x:c>
      <x:c r="G34" t="str">
        <x:f>Raw_Data!D34</x:f>
        <x:v>Electronics</x:v>
      </x:c>
      <x:c r="H34" t="str">
        <x:f>Raw_Data!J34</x:f>
        <x:v>Completed</x:v>
      </x:c>
    </x:row>
    <x:row r="35">
      <x:c r="A35" t="str">
        <x:f>Raw_Data!A35</x:f>
        <x:v>O031</x:v>
      </x:c>
      <x:c r="B35" s="38" t="n">
        <x:f>Raw_Data!I35</x:f>
        <x:v>17500</x:v>
      </x:c>
      <x:c r="C35" s="38" t="n">
        <x:f>Raw_Data!L35</x:f>
        <x:v>6500</x:v>
      </x:c>
      <x:c r="D35" s="42" t="n">
        <x:f>IFERROR(C35/B35,0)</x:f>
        <x:v>0.37142857142857144</x:v>
      </x:c>
      <x:c r="E35" t="str">
        <x:f>TEXT(Raw_Data!B35,"mmm-yy")</x:f>
        <x:v>Jul-26</x:v>
      </x:c>
      <x:c r="F35" t="str">
        <x:f>Raw_Data!C35</x:f>
        <x:v>East</x:v>
      </x:c>
      <x:c r="G35" t="str">
        <x:f>Raw_Data!D35</x:f>
        <x:v>Accessories</x:v>
      </x:c>
      <x:c r="H35" t="str">
        <x:f>Raw_Data!J35</x:f>
        <x:v>Pending</x:v>
      </x:c>
    </x:row>
    <x:row r="36">
      <x:c r="A36" t="str">
        <x:f>Raw_Data!A36</x:f>
        <x:v>O032</x:v>
      </x:c>
      <x:c r="B36" s="38" t="n">
        <x:f>Raw_Data!I36</x:f>
        <x:v>72000</x:v>
      </x:c>
      <x:c r="C36" s="38" t="n">
        <x:f>Raw_Data!L36</x:f>
        <x:v>15000</x:v>
      </x:c>
      <x:c r="D36" s="42" t="n">
        <x:f>IFERROR(C36/B36,0)</x:f>
        <x:v>0.20833333333333334</x:v>
      </x:c>
      <x:c r="E36" t="str">
        <x:f>TEXT(Raw_Data!B36,"mmm-yy")</x:f>
        <x:v>Aug-26</x:v>
      </x:c>
      <x:c r="F36" t="str">
        <x:f>Raw_Data!C36</x:f>
        <x:v>West</x:v>
      </x:c>
      <x:c r="G36" t="str">
        <x:f>Raw_Data!D36</x:f>
        <x:v>Electronics</x:v>
      </x:c>
      <x:c r="H36" t="str">
        <x:f>Raw_Data!J36</x:f>
        <x:v>Cancelled</x:v>
      </x:c>
    </x:row>
    <x:row r="37">
      <x:c r="A37" t="str">
        <x:f>Raw_Data!A37</x:f>
        <x:v>O033</x:v>
      </x:c>
      <x:c r="B37" s="38" t="n">
        <x:f>Raw_Data!I37</x:f>
        <x:v>55000</x:v>
      </x:c>
      <x:c r="C37" s="38" t="n">
        <x:f>Raw_Data!L37</x:f>
        <x:v>8000</x:v>
      </x:c>
      <x:c r="D37" s="42" t="n">
        <x:f>IFERROR(C37/B37,0)</x:f>
        <x:v>0.14545454545454545</x:v>
      </x:c>
      <x:c r="E37" t="str">
        <x:f>TEXT(Raw_Data!B37,"mmm-yy")</x:f>
        <x:v>Aug-26</x:v>
      </x:c>
      <x:c r="F37" t="str">
        <x:f>Raw_Data!C37</x:f>
        <x:v>North</x:v>
      </x:c>
      <x:c r="G37" t="str">
        <x:f>Raw_Data!D37</x:f>
        <x:v>Electronics</x:v>
      </x:c>
      <x:c r="H37" t="str">
        <x:f>Raw_Data!J37</x:f>
        <x:v>Completed</x:v>
      </x:c>
    </x:row>
    <x:row r="38">
      <x:c r="A38" t="str">
        <x:f>Raw_Data!A38</x:f>
        <x:v>O034</x:v>
      </x:c>
      <x:c r="B38" s="38" t="n">
        <x:f>Raw_Data!I38</x:f>
        <x:v>2400</x:v>
      </x:c>
      <x:c r="C38" s="38" t="n">
        <x:f>Raw_Data!L38</x:f>
        <x:v>1000</x:v>
      </x:c>
      <x:c r="D38" s="42" t="n">
        <x:f>IFERROR(C38/B38,0)</x:f>
        <x:v>0.4166666666666667</x:v>
      </x:c>
      <x:c r="E38" t="str">
        <x:f>TEXT(Raw_Data!B38,"mmm-yy")</x:f>
        <x:v>Aug-26</x:v>
      </x:c>
      <x:c r="F38" t="str">
        <x:f>Raw_Data!C38</x:f>
        <x:v>South</x:v>
      </x:c>
      <x:c r="G38" t="str">
        <x:f>Raw_Data!D38</x:f>
        <x:v>Accessories</x:v>
      </x:c>
      <x:c r="H38" t="str">
        <x:f>Raw_Data!J38</x:f>
        <x:v>Pending</x:v>
      </x:c>
    </x:row>
    <x:row r="39">
      <x:c r="A39" t="str">
        <x:f>Raw_Data!A39</x:f>
        <x:v>O035</x:v>
      </x:c>
      <x:c r="B39" s="38" t="n">
        <x:f>Raw_Data!I39</x:f>
        <x:v>7500</x:v>
      </x:c>
      <x:c r="C39" s="38" t="n">
        <x:f>Raw_Data!L39</x:f>
        <x:v>3000</x:v>
      </x:c>
      <x:c r="D39" s="42" t="n">
        <x:f>IFERROR(C39/B39,0)</x:f>
        <x:v>0.4</x:v>
      </x:c>
      <x:c r="E39" t="str">
        <x:f>TEXT(Raw_Data!B39,"mmm-yy")</x:f>
        <x:v>Aug-26</x:v>
      </x:c>
      <x:c r="F39" t="str">
        <x:f>Raw_Data!C39</x:f>
        <x:v>East</x:v>
      </x:c>
      <x:c r="G39" t="str">
        <x:f>Raw_Data!D39</x:f>
        <x:v>Accessories</x:v>
      </x:c>
      <x:c r="H39" t="str">
        <x:f>Raw_Data!J39</x:f>
        <x:v>Cancelled</x:v>
      </x:c>
    </x:row>
    <x:row r="40">
      <x:c r="A40" t="str">
        <x:f>Raw_Data!A40</x:f>
        <x:v>O036</x:v>
      </x:c>
      <x:c r="B40" s="38" t="n">
        <x:f>Raw_Data!I40</x:f>
        <x:v>72000</x:v>
      </x:c>
      <x:c r="C40" s="38" t="n">
        <x:f>Raw_Data!L40</x:f>
        <x:v>14000</x:v>
      </x:c>
      <x:c r="D40" s="42" t="n">
        <x:f>IFERROR(C40/B40,0)</x:f>
        <x:v>0.19444444444444445</x:v>
      </x:c>
      <x:c r="E40" t="str">
        <x:f>TEXT(Raw_Data!B40,"mmm-yy")</x:f>
        <x:v>Aug-26</x:v>
      </x:c>
      <x:c r="F40" t="str">
        <x:f>Raw_Data!C40</x:f>
        <x:v>West</x:v>
      </x:c>
      <x:c r="G40" t="str">
        <x:f>Raw_Data!D40</x:f>
        <x:v>Electronics</x:v>
      </x:c>
      <x:c r="H40" t="str">
        <x:f>Raw_Data!J40</x:f>
        <x:v>Completed</x:v>
      </x:c>
    </x:row>
    <x:row r="41">
      <x:c r="A41" t="str">
        <x:f>Raw_Data!A41</x:f>
        <x:v>O037</x:v>
      </x:c>
      <x:c r="B41" s="38" t="n">
        <x:f>Raw_Data!I41</x:f>
        <x:v>17500</x:v>
      </x:c>
      <x:c r="C41" s="38" t="n">
        <x:f>Raw_Data!L41</x:f>
        <x:v>6500</x:v>
      </x:c>
      <x:c r="D41" s="42" t="n">
        <x:f>IFERROR(C41/B41,0)</x:f>
        <x:v>0.37142857142857144</x:v>
      </x:c>
      <x:c r="E41" t="str">
        <x:f>TEXT(Raw_Data!B41,"mmm-yy")</x:f>
        <x:v>Aug-26</x:v>
      </x:c>
      <x:c r="F41" t="str">
        <x:f>Raw_Data!C41</x:f>
        <x:v>North</x:v>
      </x:c>
      <x:c r="G41" t="str">
        <x:f>Raw_Data!D41</x:f>
        <x:v>Accessories</x:v>
      </x:c>
      <x:c r="H41" t="str">
        <x:f>Raw_Data!J41</x:f>
        <x:v>Pending</x:v>
      </x:c>
    </x:row>
    <x:row r="42">
      <x:c r="A42" t="str">
        <x:f>Raw_Data!A42</x:f>
        <x:v>O038</x:v>
      </x:c>
      <x:c r="B42" s="38" t="n">
        <x:f>Raw_Data!I42</x:f>
        <x:v>72000</x:v>
      </x:c>
      <x:c r="C42" s="38" t="n">
        <x:f>Raw_Data!L42</x:f>
        <x:v>15000</x:v>
      </x:c>
      <x:c r="D42" s="42" t="n">
        <x:f>IFERROR(C42/B42,0)</x:f>
        <x:v>0.20833333333333334</x:v>
      </x:c>
      <x:c r="E42" t="str">
        <x:f>TEXT(Raw_Data!B42,"mmm-yy")</x:f>
        <x:v>Sep-26</x:v>
      </x:c>
      <x:c r="F42" t="str">
        <x:f>Raw_Data!C42</x:f>
        <x:v>South</x:v>
      </x:c>
      <x:c r="G42" t="str">
        <x:f>Raw_Data!D42</x:f>
        <x:v>Electronics</x:v>
      </x:c>
      <x:c r="H42" t="str">
        <x:f>Raw_Data!J42</x:f>
        <x:v>Cancelled</x:v>
      </x:c>
    </x:row>
    <x:row r="43">
      <x:c r="A43" t="str">
        <x:f>Raw_Data!A43</x:f>
        <x:v>O039</x:v>
      </x:c>
      <x:c r="B43" s="38" t="n">
        <x:f>Raw_Data!I43</x:f>
        <x:v>55000</x:v>
      </x:c>
      <x:c r="C43" s="38" t="n">
        <x:f>Raw_Data!L43</x:f>
        <x:v>8000</x:v>
      </x:c>
      <x:c r="D43" s="42" t="n">
        <x:f>IFERROR(C43/B43,0)</x:f>
        <x:v>0.14545454545454545</x:v>
      </x:c>
      <x:c r="E43" t="str">
        <x:f>TEXT(Raw_Data!B43,"mmm-yy")</x:f>
        <x:v>Sep-26</x:v>
      </x:c>
      <x:c r="F43" t="str">
        <x:f>Raw_Data!C43</x:f>
        <x:v>East</x:v>
      </x:c>
      <x:c r="G43" t="str">
        <x:f>Raw_Data!D43</x:f>
        <x:v>Electronics</x:v>
      </x:c>
      <x:c r="H43" t="str">
        <x:f>Raw_Data!J43</x:f>
        <x:v>Completed</x:v>
      </x:c>
    </x:row>
    <x:row r="44">
      <x:c r="A44" t="str">
        <x:f>Raw_Data!A44</x:f>
        <x:v>O040</x:v>
      </x:c>
      <x:c r="B44" s="38" t="n">
        <x:f>Raw_Data!I44</x:f>
        <x:v>2400</x:v>
      </x:c>
      <x:c r="C44" s="38" t="n">
        <x:f>Raw_Data!L44</x:f>
        <x:v>1000</x:v>
      </x:c>
      <x:c r="D44" s="42" t="n">
        <x:f>IFERROR(C44/B44,0)</x:f>
        <x:v>0.4166666666666667</x:v>
      </x:c>
      <x:c r="E44" t="str">
        <x:f>TEXT(Raw_Data!B44,"mmm-yy")</x:f>
        <x:v>Sep-26</x:v>
      </x:c>
      <x:c r="F44" t="str">
        <x:f>Raw_Data!C44</x:f>
        <x:v>West</x:v>
      </x:c>
      <x:c r="G44" t="str">
        <x:f>Raw_Data!D44</x:f>
        <x:v>Accessories</x:v>
      </x:c>
      <x:c r="H44" t="str">
        <x:f>Raw_Data!J44</x:f>
        <x:v>Pending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28" customHeight="1">
      <x:c r="A1" s="5" t="str">
        <x:v>Dashboard Summary Layer</x:v>
      </x:c>
    </x:row>
    <x:row r="2" ht="24" customHeight="1">
      <x:c r="A2" s="18" t="str">
        <x:v>Formula summaries that feed the dashboard charts.</x:v>
      </x:c>
    </x:row>
    <x:row r="4">
      <x:c r="A4" s="24" t="str">
        <x:v>KPI</x:v>
      </x:c>
      <x:c r="B4" s="24" t="str">
        <x:v>Value</x:v>
      </x:c>
      <x:c r="D4" s="24" t="str">
        <x:v>Region</x:v>
      </x:c>
      <x:c r="E4" s="24" t="str">
        <x:v>Revenue</x:v>
      </x:c>
      <x:c r="G4" s="24" t="str">
        <x:v>Category</x:v>
      </x:c>
      <x:c r="H4" s="24" t="str">
        <x:v>Revenue</x:v>
      </x:c>
    </x:row>
    <x:row r="5">
      <x:c r="A5" t="str">
        <x:v>Total Revenue</x:v>
      </x:c>
      <x:c r="B5" s="38" t="n">
        <x:f>SUM(Calculations!B5:B44)</x:f>
        <x:v>1535900</x:v>
      </x:c>
      <x:c r="D5" t="str">
        <x:v>North</x:v>
      </x:c>
      <x:c r="E5" s="38" t="n">
        <x:f>SUMIF(Calculations!$F$5:$F$44,D5,Calculations!$B$5:$B$44)</x:f>
        <x:v>362000</x:v>
      </x:c>
      <x:c r="G5" t="str">
        <x:v>Accessories</x:v>
      </x:c>
      <x:c r="H5" s="38" t="n">
        <x:f>SUMIF(Calculations!$G$5:$G$44,G5,Calculations!$B$5:$B$44)</x:f>
        <x:v>174900</x:v>
      </x:c>
    </x:row>
    <x:row r="6">
      <x:c r="A6" t="str">
        <x:v>Total Orders</x:v>
      </x:c>
      <x:c r="B6" s="38" t="n">
        <x:f>COUNTA(Calculations!A5:A44)</x:f>
        <x:v>40</x:v>
      </x:c>
      <x:c r="D6" t="str">
        <x:v>South</x:v>
      </x:c>
      <x:c r="E6" s="38" t="n">
        <x:f>SUMIF(Calculations!$F$5:$F$44,D6,Calculations!$B$5:$B$44)</x:f>
        <x:v>409200</x:v>
      </x:c>
      <x:c r="G6" t="str">
        <x:v>Electronics</x:v>
      </x:c>
      <x:c r="H6" s="38" t="n">
        <x:f>SUMIF(Calculations!$G$5:$G$44,G6,Calculations!$B$5:$B$44)</x:f>
        <x:v>1361000</x:v>
      </x:c>
    </x:row>
    <x:row r="7">
      <x:c r="A7" t="str">
        <x:v>AOV</x:v>
      </x:c>
      <x:c r="B7" s="38" t="n">
        <x:f>B5/B6</x:f>
        <x:v>38397.5</x:v>
      </x:c>
      <x:c r="D7" t="str">
        <x:v>East</x:v>
      </x:c>
      <x:c r="E7" s="38" t="n">
        <x:f>SUMIF(Calculations!$F$5:$F$44,D7,Calculations!$B$5:$B$44)</x:f>
        <x:v>332500</x:v>
      </x:c>
    </x:row>
    <x:row r="8">
      <x:c r="A8" t="str">
        <x:v>Growth %</x:v>
      </x:c>
      <x:c r="B8" t="str"/>
      <x:c r="D8" t="str">
        <x:v>West</x:v>
      </x:c>
      <x:c r="E8" s="38" t="n">
        <x:f>SUMIF(Calculations!$F$5:$F$44,D8,Calculations!$B$5:$B$44)</x:f>
        <x:v>432200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SALES PERFORMANCE DASHBOARD</x:v>
      </x:c>
    </x:row>
    <x:row r="2" ht="24" customHeight="1">
      <x:c r="A2" s="18" t="str">
        <x:v>KPI cards + trends + comparisons | Add Slicers/Timeline in desktop Excel.</x:v>
      </x:c>
    </x:row>
    <x:row r="4">
      <x:c r="A4" s="46" t="str">
        <x:v>Total Revenue</x:v>
      </x:c>
      <x:c r="D4" s="46" t="str">
        <x:v>Total Orders</x:v>
      </x:c>
      <x:c r="G4" s="46" t="str">
        <x:v>AOV</x:v>
      </x:c>
      <x:c r="J4" s="46" t="str">
        <x:v>Growth %</x:v>
      </x:c>
    </x:row>
    <x:row r="7">
      <x:c r="A7" s="56" t="n">
        <x:f>Pivot_Summaries!B5</x:f>
        <x:v>1535900</x:v>
      </x:c>
      <x:c r="B7" s="52" t="str"/>
      <x:c r="C7" s="52" t="str"/>
      <x:c r="D7" s="52" t="n">
        <x:f>Pivot_Summaries!B6</x:f>
        <x:v>40</x:v>
      </x:c>
      <x:c r="E7" s="52" t="str"/>
      <x:c r="F7" s="52" t="str"/>
      <x:c r="G7" s="56" t="n">
        <x:f>Pivot_Summaries!B7</x:f>
        <x:v>38397.5</x:v>
      </x:c>
      <x:c r="H7" s="52" t="str"/>
      <x:c r="I7" s="52" t="str"/>
      <x:c r="J7" s="58" t="n">
        <x:f>Pivot_Summaries!B8</x:f>
        <x:v>0</x:v>
      </x:c>
      <x:c r="K7" s="52" t="str"/>
      <x:c r="L7" s="52" t="str"/>
    </x:row>
    <x:row r="10">
      <x:c r="A10" s="38" t="str">
        <x:v>Region</x:v>
      </x:c>
      <x:c r="B10" s="38" t="str">
        <x:v>Revenue</x:v>
      </x:c>
      <x:c r="D10" s="38" t="str">
        <x:v>Category</x:v>
      </x:c>
      <x:c r="E10" s="38" t="str">
        <x:v>Revenue</x:v>
      </x:c>
    </x:row>
    <x:row r="11">
      <x:c r="A11" s="38" t="str">
        <x:v>North</x:v>
      </x:c>
      <x:c r="B11" s="38" t="n">
        <x:v>362000</x:v>
      </x:c>
      <x:c r="D11" s="38" t="str">
        <x:v>Accessories</x:v>
      </x:c>
      <x:c r="E11" s="38" t="n">
        <x:v>174900</x:v>
      </x:c>
    </x:row>
    <x:row r="12">
      <x:c r="A12" s="38" t="str">
        <x:v>South</x:v>
      </x:c>
      <x:c r="B12" s="38" t="n">
        <x:v>409200</x:v>
      </x:c>
      <x:c r="D12" s="38" t="str">
        <x:v>Electronics</x:v>
      </x:c>
      <x:c r="E12" s="38" t="n">
        <x:v>1361000</x:v>
      </x:c>
    </x:row>
    <x:row r="13">
      <x:c r="A13" s="38" t="str">
        <x:v>East</x:v>
      </x:c>
      <x:c r="B13" s="38" t="n">
        <x:v>332500</x:v>
      </x:c>
    </x:row>
    <x:row r="14">
      <x:c r="A14" s="38" t="str">
        <x:v>West</x:v>
      </x:c>
      <x:c r="B14" s="38" t="n">
        <x:v>432200</x:v>
      </x:c>
    </x:row>
    <x:row r="23">
      <x:c r="A23" s="62" t="str">
        <x:v>Capstone checklist: validate Total Revenue against source data, add slicers for Region/Category/Status, test interactions, then write 3 evidence-based findings.</x:v>
      </x:c>
    </x:row>
  </x:sheetData>
  <x:mergeCells>
    <x:mergeCell ref="A1:N1"/>
    <x:mergeCell ref="A2:N2"/>
    <x:mergeCell ref="A4:C6"/>
    <x:mergeCell ref="D4:F6"/>
    <x:mergeCell ref="G4:I6"/>
    <x:mergeCell ref="J4:L6"/>
    <x:mergeCell ref="A7:C7"/>
    <x:mergeCell ref="D7:F7"/>
    <x:mergeCell ref="G7:I7"/>
    <x:mergeCell ref="J7:L7"/>
  </x:mergeCells>
  <x:pageMargins left="0.7" right="0.7" top="0.75" bottom="0.75" header="0.3" footer="0.3"/>
  <x:drawing xmlns:r="http://schemas.openxmlformats.org/officeDocument/2006/relationships" r:id="Ra45dcb2f91004ee3"/>
</x:worksheet>
</file>