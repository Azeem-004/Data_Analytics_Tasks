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082bb75c4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b7fb5713794af4"/>
    <x:sheet xmlns:r="http://schemas.openxmlformats.org/officeDocument/2006/relationships" name="Model" sheetId="2" r:id="Rca588b795dbd45b9"/>
    <x:sheet xmlns:r="http://schemas.openxmlformats.org/officeDocument/2006/relationships" name="Sensitivity" sheetId="3" r:id="Ra04725ff923c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fbe646d7041ad" /><Relationship Type="http://schemas.openxmlformats.org/officeDocument/2006/relationships/theme" Target="/xl/theme/theme1.xml" Id="R0b2aec829f0f461b" /><Relationship Type="http://schemas.openxmlformats.org/officeDocument/2006/relationships/sharedStrings" Target="/xl/sharedStrings.xml" Id="Redaa98527a7046ec" /><Relationship Type="http://schemas.openxmlformats.org/officeDocument/2006/relationships/worksheet" Target="/xl/worksheets/sheet1.xml" Id="R35b7fb5713794af4" /><Relationship Type="http://schemas.openxmlformats.org/officeDocument/2006/relationships/worksheet" Target="/xl/worksheets/sheet2.xml" Id="Rca588b795dbd45b9" /><Relationship Type="http://schemas.openxmlformats.org/officeDocument/2006/relationships/worksheet" Target="/xl/worksheets/sheet3.xml" Id="Ra04725ff923c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11 — Scenario Manager &amp; Data Tables</x:v>
      </x:c>
    </x:row>
    <x:row r="2" ht="24" customHeight="1">
      <x:c r="A2" s="18" t="str">
        <x:v>14-day Excel Data Analytics GitHub repository | Day 11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Compare multiple planning assumptions and structure a one-variable sensitivity table.</x:v>
      </x:c>
    </x:row>
    <x:row r="6">
      <x:c r="A6" s="34" t="str">
        <x:v>Concepts</x:v>
      </x:c>
      <x:c r="B6" s="32" t="str">
        <x:v>Scenario Manager, Best/Base/Worst cases, Data Tables.</x:v>
      </x:c>
    </x:row>
    <x:row r="7">
      <x:c r="A7" s="34" t="str">
        <x:v>Practice Tasks</x:v>
      </x:c>
      <x:c r="B7" s="32" t="str">
        <x:v>1) Build Base/Best/Worst inputs. 2) Calculate profit. 3) Create a one-variable sensitivity table in desktop Excel.</x:v>
      </x:c>
    </x:row>
    <x:row r="8">
      <x:c r="A8" s="34" t="str">
        <x:v>Source Alignment</x:v>
      </x:c>
      <x:c r="B8" s="32" t="str">
        <x:v>Based on the user-provided Unit1&amp;2.pdf, page 15 (Scenario Manager and Data Tables).</x:v>
      </x:c>
    </x:row>
    <x:row r="9">
      <x:c r="A9" s="34" t="str">
        <x:v>GitHub Commit Suggestion</x:v>
      </x:c>
      <x:c r="B9" s="32" t="str">
        <x:v>Day 11: Scenario Manager &amp; Data Tables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5" t="str">
        <x:v>Scenario Model</x:v>
      </x:c>
    </x:row>
    <x:row r="2" ht="24" customHeight="1">
      <x:c r="A2" s="18" t="str">
        <x:v>Compare assumptions for units, price and variable cost.</x:v>
      </x:c>
    </x:row>
    <x:row r="4">
      <x:c r="A4" s="24" t="str">
        <x:v>Scenario</x:v>
      </x:c>
      <x:c r="B4" s="24" t="str">
        <x:v>Units</x:v>
      </x:c>
      <x:c r="C4" s="24" t="str">
        <x:v>Price</x:v>
      </x:c>
      <x:c r="D4" s="24" t="str">
        <x:v>Variable Cost</x:v>
      </x:c>
      <x:c r="E4" s="24" t="str">
        <x:v>Metric</x:v>
      </x:c>
      <x:c r="F4" s="24" t="str">
        <x:v>Result</x:v>
      </x:c>
    </x:row>
    <x:row r="5">
      <x:c r="A5" t="str">
        <x:v>Base</x:v>
      </x:c>
      <x:c r="B5" t="n">
        <x:v>100</x:v>
      </x:c>
      <x:c r="C5" s="36" t="n">
        <x:v>5000</x:v>
      </x:c>
      <x:c r="D5" s="36" t="n">
        <x:v>3000</x:v>
      </x:c>
      <x:c r="E5" t="str">
        <x:v>Revenue</x:v>
      </x:c>
      <x:c r="F5" s="36" t="n">
        <x:f>B8*C8</x:f>
        <x:v>500000</x:v>
      </x:c>
    </x:row>
    <x:row r="6">
      <x:c r="A6" t="str">
        <x:v>Best</x:v>
      </x:c>
      <x:c r="B6" t="n">
        <x:v>130</x:v>
      </x:c>
      <x:c r="C6" s="36" t="n">
        <x:v>5200</x:v>
      </x:c>
      <x:c r="D6" s="36" t="n">
        <x:v>2900</x:v>
      </x:c>
      <x:c r="E6" t="str">
        <x:v>Variable Cost</x:v>
      </x:c>
      <x:c r="F6" s="36" t="n">
        <x:f>B8*D8</x:f>
        <x:v>300000</x:v>
      </x:c>
    </x:row>
    <x:row r="7">
      <x:c r="A7" t="str">
        <x:v>Worst</x:v>
      </x:c>
      <x:c r="B7" t="n">
        <x:v>75</x:v>
      </x:c>
      <x:c r="C7" s="36" t="n">
        <x:v>4700</x:v>
      </x:c>
      <x:c r="D7" s="36" t="n">
        <x:v>3300</x:v>
      </x:c>
      <x:c r="E7" t="str">
        <x:v>Fixed Cost</x:v>
      </x:c>
      <x:c r="F7" s="36" t="n">
        <x:v>25000</x:v>
      </x:c>
    </x:row>
    <x:row r="8">
      <x:c r="A8" t="str">
        <x:v>Current Selected</x:v>
      </x:c>
      <x:c r="B8" t="n">
        <x:f>B5</x:f>
        <x:v>100</x:v>
      </x:c>
      <x:c r="C8" s="36" t="n">
        <x:f>C5</x:f>
        <x:v>5000</x:v>
      </x:c>
      <x:c r="D8" s="36" t="n">
        <x:f>D5</x:f>
        <x:v>3000</x:v>
      </x:c>
      <x:c r="E8" t="str">
        <x:v>Profit</x:v>
      </x:c>
      <x:c r="F8" s="36" t="n">
        <x:f>F5-F6-F7</x:f>
        <x:v>175000</x:v>
      </x:c>
    </x:row>
    <x:row r="9">
      <x:c r="A9" t="str">
        <x:v>Profit</x:v>
      </x:c>
      <x:c r="B9" t="str"/>
      <x:c r="C9" t="str"/>
      <x:c r="D9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</x:cols>
  <x:sheetData>
    <x:row r="1" ht="28" customHeight="1">
      <x:c r="A1" s="5" t="str">
        <x:v>One-Variable Sensitivity Table</x:v>
      </x:c>
    </x:row>
    <x:row r="2" ht="24" customHeight="1">
      <x:c r="A2" s="18" t="str">
        <x:v>Use desktop Excel Data Table to test how Units affect Profit.</x:v>
      </x:c>
    </x:row>
    <x:row r="4">
      <x:c r="A4" s="24" t="str">
        <x:v>Units</x:v>
      </x:c>
      <x:c r="B4" s="24" t="str">
        <x:v>Expected Profit</x:v>
      </x:c>
      <x:c r="C4" s="24" t="str">
        <x:v>Exercise</x:v>
      </x:c>
    </x:row>
    <x:row r="5">
      <x:c r="A5" t="n">
        <x:v>50</x:v>
      </x:c>
      <x:c r="B5" s="36" t="n">
        <x:f>A5*'Model'!$C$8 - A5*'Model'!$D$8 - 'Model'!$F$7</x:f>
        <x:v>75000</x:v>
      </x:c>
      <x:c r="C5" t="str">
        <x:v>Use Data → What-If Analysis → Data Table</x:v>
      </x:c>
    </x:row>
    <x:row r="6">
      <x:c r="A6" t="n">
        <x:v>75</x:v>
      </x:c>
      <x:c r="B6" s="36" t="n">
        <x:f>A6*'Model'!$C$8 - A6*'Model'!$D$8 - 'Model'!$F$7</x:f>
        <x:v>125000</x:v>
      </x:c>
      <x:c r="C6" t="str"/>
    </x:row>
    <x:row r="7">
      <x:c r="A7" t="n">
        <x:v>100</x:v>
      </x:c>
      <x:c r="B7" s="36" t="n">
        <x:f>A7*'Model'!$C$8 - A7*'Model'!$D$8 - 'Model'!$F$7</x:f>
        <x:v>175000</x:v>
      </x:c>
      <x:c r="C7" t="str"/>
    </x:row>
    <x:row r="8">
      <x:c r="A8" t="n">
        <x:v>125</x:v>
      </x:c>
      <x:c r="B8" s="36" t="n">
        <x:f>A8*'Model'!$C$8 - A8*'Model'!$D$8 - 'Model'!$F$7</x:f>
        <x:v>225000</x:v>
      </x:c>
      <x:c r="C8" t="str"/>
    </x:row>
    <x:row r="9">
      <x:c r="A9" t="n">
        <x:v>150</x:v>
      </x:c>
      <x:c r="B9" s="36" t="n">
        <x:f>A9*'Model'!$C$8 - A9*'Model'!$D$8 - 'Model'!$F$7</x:f>
        <x:v>275000</x:v>
      </x:c>
      <x:c r="C9" t="str"/>
    </x:row>
    <x:row r="10">
      <x:c r="A10" t="n">
        <x:v>175</x:v>
      </x:c>
      <x:c r="B10" s="36" t="n">
        <x:f>A10*'Model'!$C$8 - A10*'Model'!$D$8 - 'Model'!$F$7</x:f>
        <x:v>325000</x:v>
      </x:c>
      <x:c r="C10" t="str"/>
    </x:row>
  </x:sheetData>
  <x:mergeCells>
    <x:mergeCell ref="A1:C1"/>
    <x:mergeCell ref="A2:C2"/>
  </x:mergeCells>
  <x:pageMargins left="0.7" right="0.7" top="0.75" bottom="0.75" header="0.3" footer="0.3"/>
</x:worksheet>
</file>