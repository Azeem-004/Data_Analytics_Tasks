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3fe6c995d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5a2d0fb16f4206"/>
    <x:sheet xmlns:r="http://schemas.openxmlformats.org/officeDocument/2006/relationships" name="Products" sheetId="2" r:id="Raa313a3513f84444"/>
    <x:sheet xmlns:r="http://schemas.openxmlformats.org/officeDocument/2006/relationships" name="Solver_Model" sheetId="3" r:id="R3b01539e0a01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22d9471954c83" /><Relationship Type="http://schemas.openxmlformats.org/officeDocument/2006/relationships/theme" Target="/xl/theme/theme1.xml" Id="Rf32661e2e78a4591" /><Relationship Type="http://schemas.openxmlformats.org/officeDocument/2006/relationships/sharedStrings" Target="/xl/sharedStrings.xml" Id="R15b6228bc1964c72" /><Relationship Type="http://schemas.openxmlformats.org/officeDocument/2006/relationships/worksheet" Target="/xl/worksheets/sheet1.xml" Id="Rfe5a2d0fb16f4206" /><Relationship Type="http://schemas.openxmlformats.org/officeDocument/2006/relationships/worksheet" Target="/xl/worksheets/sheet2.xml" Id="Raa313a3513f84444" /><Relationship Type="http://schemas.openxmlformats.org/officeDocument/2006/relationships/worksheet" Target="/xl/worksheets/sheet3.xml" Id="R3b01539e0a014e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12 — Solver Optimization</x:v>
      </x:c>
    </x:row>
    <x:row r="2" ht="24" customHeight="1">
      <x:c r="A2" s="18" t="str">
        <x:v>14-day Excel Data Analytics GitHub repository | Day 12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Prepare a profit-maximization model with changing cells and constraints.</x:v>
      </x:c>
    </x:row>
    <x:row r="6">
      <x:c r="A6" s="34" t="str">
        <x:v>Concepts</x:v>
      </x:c>
      <x:c r="B6" s="32" t="str">
        <x:v>Objective, decision variables, constraints, feasible combinations, Solver.</x:v>
      </x:c>
    </x:row>
    <x:row r="7">
      <x:c r="A7" s="34" t="str">
        <x:v>Practice Tasks</x:v>
      </x:c>
      <x:c r="B7" s="32" t="str">
        <x:v>1) Set objective = total profit. 2) Changing cells = Product A/Product B units. 3) Add budget, capacity and non-negative constraints. 4) Run Solver in desktop Excel.</x:v>
      </x:c>
    </x:row>
    <x:row r="8">
      <x:c r="A8" s="34" t="str">
        <x:v>Source Alignment</x:v>
      </x:c>
      <x:c r="B8" s="32" t="str">
        <x:v>Based on the user-provided Unit1&amp;2.pdf, pages 15–16 (Solver optimization).</x:v>
      </x:c>
    </x:row>
    <x:row r="9">
      <x:c r="A9" s="34" t="str">
        <x:v>GitHub Commit Suggestion</x:v>
      </x:c>
      <x:c r="B9" s="32" t="str">
        <x:v>Day 12: Solver Optimization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28" customHeight="1">
      <x:c r="A1" s="5" t="str">
        <x:v>Product Economics</x:v>
      </x:c>
    </x:row>
    <x:row r="2" ht="24" customHeight="1">
      <x:c r="A2" s="18" t="str">
        <x:v>Inputs for the optimization model.</x:v>
      </x:c>
    </x:row>
    <x:row r="4">
      <x:c r="A4" s="24" t="str">
        <x:v>Product</x:v>
      </x:c>
      <x:c r="B4" s="24" t="str">
        <x:v>Profit / Unit</x:v>
      </x:c>
      <x:c r="C4" s="24" t="str">
        <x:v>Cost / Unit</x:v>
      </x:c>
      <x:c r="D4" s="24" t="str">
        <x:v>Max Units</x:v>
      </x:c>
      <x:c r="E4" s="24" t="str">
        <x:v>Selected Units</x:v>
      </x:c>
    </x:row>
    <x:row r="5">
      <x:c r="A5" t="str">
        <x:v>Product A</x:v>
      </x:c>
      <x:c r="B5" s="36" t="n">
        <x:v>1200</x:v>
      </x:c>
      <x:c r="C5" s="36" t="n">
        <x:v>3800</x:v>
      </x:c>
      <x:c r="D5" t="n">
        <x:v>80</x:v>
      </x:c>
      <x:c r="E5" t="n">
        <x:v>10</x:v>
      </x:c>
    </x:row>
    <x:row r="6">
      <x:c r="A6" t="str">
        <x:v>Product B</x:v>
      </x:c>
      <x:c r="B6" s="36" t="n">
        <x:v>900</x:v>
      </x:c>
      <x:c r="C6" s="36" t="n">
        <x:v>3000</x:v>
      </x:c>
      <x:c r="D6" t="n">
        <x:v>100</x:v>
      </x:c>
      <x:c r="E6" t="n">
        <x:v>10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Solver Model</x:v>
      </x:c>
    </x:row>
    <x:row r="2" ht="24" customHeight="1">
      <x:c r="A2" s="18" t="str">
        <x:v>Objective + decision variables + constraints.</x:v>
      </x:c>
    </x:row>
    <x:row r="4">
      <x:c r="A4" s="24" t="str">
        <x:v>Model Item</x:v>
      </x:c>
      <x:c r="B4" s="24" t="str">
        <x:v>Value</x:v>
      </x:c>
      <x:c r="D4" s="24" t="str">
        <x:v>Solver Setup</x:v>
      </x:c>
      <x:c r="E4" s="24" t="str">
        <x:v>Cell</x:v>
      </x:c>
      <x:c r="F4" s="24" t="str">
        <x:v>Role</x:v>
      </x:c>
      <x:c r="G4" s="24" t="str">
        <x:v>Constraint</x:v>
      </x:c>
      <x:c r="H4" s="24" t="str">
        <x:v>Value</x:v>
      </x:c>
    </x:row>
    <x:row r="5">
      <x:c r="A5" t="str">
        <x:v>Product A Units</x:v>
      </x:c>
      <x:c r="B5" t="n">
        <x:f>Products!E5</x:f>
        <x:v>10</x:v>
      </x:c>
      <x:c r="D5" t="str">
        <x:v>Objective</x:v>
      </x:c>
      <x:c r="E5" t="str">
        <x:v>B9</x:v>
      </x:c>
      <x:c r="F5" t="str">
        <x:v>Maximize Total Profit</x:v>
      </x:c>
      <x:c r="G5" t="str"/>
      <x:c r="H5" t="str"/>
    </x:row>
    <x:row r="6">
      <x:c r="A6" t="str">
        <x:v>Product B Units</x:v>
      </x:c>
      <x:c r="B6" t="n">
        <x:f>Products!E6</x:f>
        <x:v>10</x:v>
      </x:c>
      <x:c r="D6" t="str">
        <x:v>Changing Cells</x:v>
      </x:c>
      <x:c r="E6" t="str">
        <x:v>B5:B6</x:v>
      </x:c>
      <x:c r="F6" t="str">
        <x:v>Decision variables</x:v>
      </x:c>
      <x:c r="G6" t="str"/>
      <x:c r="H6" t="str"/>
    </x:row>
    <x:row r="7">
      <x:c r="A7" t="str">
        <x:v>Total Cost</x:v>
      </x:c>
      <x:c r="B7" s="36" t="n">
        <x:f>B5*Products!C5+B6*Products!C6</x:f>
        <x:v>68000</x:v>
      </x:c>
      <x:c r="D7" t="str">
        <x:v>Budget</x:v>
      </x:c>
      <x:c r="E7" t="str"/>
      <x:c r="F7" t="str"/>
      <x:c r="G7" t="str">
        <x:v>B7&lt;=B10</x:v>
      </x:c>
      <x:c r="H7" t="str"/>
    </x:row>
    <x:row r="8">
      <x:c r="A8" t="str">
        <x:v>Total Units</x:v>
      </x:c>
      <x:c r="B8" s="36" t="n">
        <x:f>B5+B6</x:f>
        <x:v>20</x:v>
      </x:c>
      <x:c r="D8" t="str">
        <x:v>Capacity</x:v>
      </x:c>
      <x:c r="E8" t="str"/>
      <x:c r="F8" t="str"/>
      <x:c r="G8" t="str">
        <x:v>B8&lt;=B11</x:v>
      </x:c>
      <x:c r="H8" t="str"/>
    </x:row>
    <x:row r="9">
      <x:c r="A9" t="str">
        <x:v>Total Profit</x:v>
      </x:c>
      <x:c r="B9" s="36" t="n">
        <x:f>B5*Products!B5+B6*Products!B6</x:f>
        <x:v>21000</x:v>
      </x:c>
      <x:c r="D9" t="str">
        <x:v>Non-negative</x:v>
      </x:c>
      <x:c r="E9" t="str"/>
      <x:c r="F9" t="str"/>
      <x:c r="G9" t="str">
        <x:v>B5,B6&gt;=0</x:v>
      </x:c>
      <x:c r="H9" t="str"/>
    </x:row>
    <x:row r="10">
      <x:c r="A10" t="str">
        <x:v>Budget</x:v>
      </x:c>
      <x:c r="B10" s="36" t="n">
        <x:v>500000</x:v>
      </x:c>
    </x:row>
    <x:row r="11">
      <x:c r="A11" t="str">
        <x:v>Capacity</x:v>
      </x:c>
      <x:c r="B11" t="n">
        <x:v>120</x:v>
      </x:c>
    </x:row>
    <x:row r="12">
      <x:c r="A12" t="str">
        <x:v>Feasibility</x:v>
      </x:c>
      <x:c r="B12" t="str">
        <x:f>IF(AND(B7&lt;=B10,B8&lt;=B11,B5&gt;=0,B6&gt;=0),"Feasible","Not Feasible")</x:f>
        <x:v>Feasible</x:v>
      </x:c>
    </x:row>
  </x:sheetData>
  <x:mergeCells>
    <x:mergeCell ref="A1:H1"/>
    <x:mergeCell ref="A2:H2"/>
  </x:mergeCells>
  <x:pageMargins left="0.7" right="0.7" top="0.75" bottom="0.75" header="0.3" footer="0.3"/>
</x:worksheet>
</file>