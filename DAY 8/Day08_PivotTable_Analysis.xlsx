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b08b2b3e6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84f1498f7354b14"/>
    <x:sheet xmlns:r="http://schemas.openxmlformats.org/officeDocument/2006/relationships" name="Sales_Data" sheetId="2" r:id="Rb33806f830e04269"/>
    <x:sheet xmlns:r="http://schemas.openxmlformats.org/officeDocument/2006/relationships" name="Pivot_Style" sheetId="3" r:id="R996341bca97b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₹#,##0"/>
    <x:numFmt numFmtId="202" formatCode="0"/>
    <x:numFmt numFmtId="203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3" borderId="0" xfId="0" applyNumberFormat="1" applyFont="1" applyFill="1" applyBorder="1"/>
    <x:xf numFmtId="203" fontId="0" fillId="3" borderId="0" xfId="0" applyNumberFormat="1" applyFont="1" applyFill="1" applyBorder="1"/>
    <x:xf numFmtId="201" fontId="3" fillId="3" borderId="0" xfId="0" applyNumberFormat="1" applyFont="1" applyFill="1" applyBorder="1"/>
    <x:xf numFmtId="203" fontId="3" fillId="3" borderId="0" xfId="0" applyNumberFormat="1" applyFont="1" applyFill="1" applyBorder="1"/>
    <x:xf numFmtId="201" fontId="0" fillId="3" borderId="1" xfId="0" applyNumberFormat="1" applyFont="1" applyFill="1" applyBorder="1"/>
    <x:xf numFmtId="203" fontId="0" fillId="3" borderId="1" xfId="0" applyNumberFormat="1" applyFont="1" applyFill="1" applyBorder="1"/>
    <x:xf numFmtId="201" fontId="3" fillId="3" borderId="1" xfId="0" applyNumberFormat="1" applyFont="1" applyFill="1" applyBorder="1"/>
    <x:xf numFmtId="203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441f859444df9" /><Relationship Type="http://schemas.openxmlformats.org/officeDocument/2006/relationships/theme" Target="/xl/theme/theme1.xml" Id="Rf1c05ebc9b8449b6" /><Relationship Type="http://schemas.openxmlformats.org/officeDocument/2006/relationships/sharedStrings" Target="/xl/sharedStrings.xml" Id="R3210c794be2b462a" /><Relationship Type="http://schemas.openxmlformats.org/officeDocument/2006/relationships/worksheet" Target="/xl/worksheets/sheet1.xml" Id="R184f1498f7354b14" /><Relationship Type="http://schemas.openxmlformats.org/officeDocument/2006/relationships/worksheet" Target="/xl/worksheets/sheet2.xml" Id="Rb33806f830e04269" /><Relationship Type="http://schemas.openxmlformats.org/officeDocument/2006/relationships/worksheet" Target="/xl/worksheets/sheet3.xml" Id="R996341bca97b4812" /></Relationships>
</file>

<file path=xl/tables/table1.xml><?xml version="1.0" encoding="utf-8"?>
<x:table xmlns:x="http://schemas.openxmlformats.org/spreadsheetml/2006/main" id="1" name="SalesDataTable" displayName="SalesDataTable" ref="A4:L44" headerRowCount="1" totalsRowCount="0" totalsRowShown="0">
  <x:tableColumns count="12">
    <x:tableColumn id="1" name="Order ID"/>
    <x:tableColumn id="2" name="Date"/>
    <x:tableColumn id="3" name="Region"/>
    <x:tableColumn id="4" name="Category"/>
    <x:tableColumn id="5" name="Product"/>
    <x:tableColumn id="6" name="Quantity"/>
    <x:tableColumn id="7" name="Unit Price"/>
    <x:tableColumn id="8" name="Cost"/>
    <x:tableColumn id="9" name="Revenue"/>
    <x:tableColumn id="10" name="Status"/>
    <x:tableColumn id="11" name="Salesperson"/>
    <x:tableColumn id="12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183d942e0245b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8 — PivotTable Analysis</x:v>
      </x:c>
    </x:row>
    <x:row r="2" ht="24" customHeight="1">
      <x:c r="A2" s="18" t="str">
        <x:v>14-day Excel Data Analytics GitHub repository | Day 8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Build a PivotTable in desktop Excel and validate the result against source totals.</x:v>
      </x:c>
    </x:row>
    <x:row r="6">
      <x:c r="A6" s="34" t="str">
        <x:v>Concepts</x:v>
      </x:c>
      <x:c r="B6" s="32" t="str">
        <x:v>PivotTable, Rows, Columns, Values, Filters, aggregation and % of Grand Total.</x:v>
      </x:c>
    </x:row>
    <x:row r="7">
      <x:c r="A7" s="34" t="str">
        <x:v>Practice Tasks</x:v>
      </x:c>
      <x:c r="B7" s="32" t="str">
        <x:v>1) Insert a PivotTable from Sales_Data. 2) Put Region in Rows, Category in Columns, Revenue in Values, Status in Filters. 3) Validate the Grand Total.</x:v>
      </x:c>
    </x:row>
    <x:row r="8">
      <x:c r="A8" s="34" t="str">
        <x:v>Source Alignment</x:v>
      </x:c>
      <x:c r="B8" s="32" t="str">
        <x:v>Based on the user-provided Unit1&amp;2.pdf, pages 12–13 and pages 19–20 (PivotTable practical section).</x:v>
      </x:c>
    </x:row>
    <x:row r="9">
      <x:c r="A9" s="34" t="str">
        <x:v>GitHub Commit Suggestion</x:v>
      </x:c>
      <x:c r="B9" s="32" t="str">
        <x:v>Day 8: PivotTable Analysis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Sales Practice Dataset</x:v>
      </x:c>
    </x:row>
    <x:row r="2" ht="24" customHeight="1">
      <x:c r="A2" s="18" t="str">
        <x:v>Extended practice data using the same fields and logic as the PDF case study.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s="40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s="40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s="40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s="40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s="40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s="4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s="40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s="40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s="40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s="40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s="40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s="40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s="40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s="40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s="40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s="4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s="40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s="40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s="40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s="40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</x:row>
    <x:row r="25">
      <x:c r="A25" t="str">
        <x:v>O021</x:v>
      </x:c>
      <x:c r="B25" s="36" t="n">
        <x:v>46182</x:v>
      </x:c>
      <x:c r="C25" t="str">
        <x:v>North</x:v>
      </x:c>
      <x:c r="D25" t="str">
        <x:v>Electronics</x:v>
      </x:c>
      <x:c r="E25" t="str">
        <x:v>Laptop</x:v>
      </x:c>
      <x:c r="F25" s="40" t="n">
        <x:v>1</x:v>
      </x:c>
      <x:c r="G25" s="38" t="n">
        <x:v>55000</x:v>
      </x:c>
      <x:c r="H25" s="38" t="n">
        <x:v>47000</x:v>
      </x:c>
      <x:c r="I25" s="38" t="n">
        <x:v>55000</x:v>
      </x:c>
      <x:c r="J25" t="str">
        <x:v>Completed</x:v>
      </x:c>
      <x:c r="K25" t="str">
        <x:v>Aman</x:v>
      </x:c>
      <x:c r="L25" s="38" t="n">
        <x:v>8000</x:v>
      </x:c>
    </x:row>
    <x:row r="26">
      <x:c r="A26" t="str">
        <x:v>O022</x:v>
      </x:c>
      <x:c r="B26" s="36" t="n">
        <x:v>46187</x:v>
      </x:c>
      <x:c r="C26" t="str">
        <x:v>South</x:v>
      </x:c>
      <x:c r="D26" t="str">
        <x:v>Accessories</x:v>
      </x:c>
      <x:c r="E26" t="str">
        <x:v>Mouse</x:v>
      </x:c>
      <x:c r="F26" s="40" t="n">
        <x:v>2</x:v>
      </x:c>
      <x:c r="G26" s="38" t="n">
        <x:v>1200</x:v>
      </x:c>
      <x:c r="H26" s="38" t="n">
        <x:v>1400</x:v>
      </x:c>
      <x:c r="I26" s="38" t="n">
        <x:v>2400</x:v>
      </x:c>
      <x:c r="J26" t="str">
        <x:v>Pending</x:v>
      </x:c>
      <x:c r="K26" t="str">
        <x:v>Riya</x:v>
      </x:c>
      <x:c r="L26" s="38" t="n">
        <x:v>1000</x:v>
      </x:c>
    </x:row>
    <x:row r="27">
      <x:c r="A27" t="str">
        <x:v>O023</x:v>
      </x:c>
      <x:c r="B27" s="36" t="n">
        <x:v>46192</x:v>
      </x:c>
      <x:c r="C27" t="str">
        <x:v>East</x:v>
      </x:c>
      <x:c r="D27" t="str">
        <x:v>Accessories</x:v>
      </x:c>
      <x:c r="E27" t="str">
        <x:v>Keyboard</x:v>
      </x:c>
      <x:c r="F27" s="40" t="n">
        <x:v>3</x:v>
      </x:c>
      <x:c r="G27" s="38" t="n">
        <x:v>2500</x:v>
      </x:c>
      <x:c r="H27" s="38" t="n">
        <x:v>4500</x:v>
      </x:c>
      <x:c r="I27" s="38" t="n">
        <x:v>7500</x:v>
      </x:c>
      <x:c r="J27" t="str">
        <x:v>Cancelled</x:v>
      </x:c>
      <x:c r="K27" t="str">
        <x:v>Rahul</x:v>
      </x:c>
      <x:c r="L27" s="38" t="n">
        <x:v>3000</x:v>
      </x:c>
    </x:row>
    <x:row r="28">
      <x:c r="A28" t="str">
        <x:v>O024</x:v>
      </x:c>
      <x:c r="B28" s="36" t="n">
        <x:v>46197</x:v>
      </x:c>
      <x:c r="C28" t="str">
        <x:v>West</x:v>
      </x:c>
      <x:c r="D28" t="str">
        <x:v>Electronics</x:v>
      </x:c>
      <x:c r="E28" t="str">
        <x:v>Monitor</x:v>
      </x:c>
      <x:c r="F28" s="40" t="n">
        <x:v>4</x:v>
      </x:c>
      <x:c r="G28" s="38" t="n">
        <x:v>18000</x:v>
      </x:c>
      <x:c r="H28" s="38" t="n">
        <x:v>58000</x:v>
      </x:c>
      <x:c r="I28" s="38" t="n">
        <x:v>72000</x:v>
      </x:c>
      <x:c r="J28" t="str">
        <x:v>Completed</x:v>
      </x:c>
      <x:c r="K28" t="str">
        <x:v>Neha</x:v>
      </x:c>
      <x:c r="L28" s="38" t="n">
        <x:v>14000</x:v>
      </x:c>
    </x:row>
    <x:row r="29">
      <x:c r="A29" t="str">
        <x:v>O025</x:v>
      </x:c>
      <x:c r="B29" s="36" t="n">
        <x:v>46202</x:v>
      </x:c>
      <x:c r="C29" t="str">
        <x:v>North</x:v>
      </x:c>
      <x:c r="D29" t="str">
        <x:v>Accessories</x:v>
      </x:c>
      <x:c r="E29" t="str">
        <x:v>Headphones</x:v>
      </x:c>
      <x:c r="F29" s="40" t="n">
        <x:v>5</x:v>
      </x:c>
      <x:c r="G29" s="38" t="n">
        <x:v>3500</x:v>
      </x:c>
      <x:c r="H29" s="38" t="n">
        <x:v>11000</x:v>
      </x:c>
      <x:c r="I29" s="38" t="n">
        <x:v>17500</x:v>
      </x:c>
      <x:c r="J29" t="str">
        <x:v>Pending</x:v>
      </x:c>
      <x:c r="K29" t="str">
        <x:v>Aman</x:v>
      </x:c>
      <x:c r="L29" s="38" t="n">
        <x:v>6500</x:v>
      </x:c>
    </x:row>
    <x:row r="30">
      <x:c r="A30" t="str">
        <x:v>O026</x:v>
      </x:c>
      <x:c r="B30" s="36" t="n">
        <x:v>46207</x:v>
      </x:c>
      <x:c r="C30" t="str">
        <x:v>South</x:v>
      </x:c>
      <x:c r="D30" t="str">
        <x:v>Electronics</x:v>
      </x:c>
      <x:c r="E30" t="str">
        <x:v>Printer</x:v>
      </x:c>
      <x:c r="F30" s="40" t="n">
        <x:v>6</x:v>
      </x:c>
      <x:c r="G30" s="38" t="n">
        <x:v>12000</x:v>
      </x:c>
      <x:c r="H30" s="38" t="n">
        <x:v>57000</x:v>
      </x:c>
      <x:c r="I30" s="38" t="n">
        <x:v>72000</x:v>
      </x:c>
      <x:c r="J30" t="str">
        <x:v>Cancelled</x:v>
      </x:c>
      <x:c r="K30" t="str">
        <x:v>Riya</x:v>
      </x:c>
      <x:c r="L30" s="38" t="n">
        <x:v>15000</x:v>
      </x:c>
    </x:row>
    <x:row r="31">
      <x:c r="A31" t="str">
        <x:v>O027</x:v>
      </x:c>
      <x:c r="B31" s="36" t="n">
        <x:v>46212</x:v>
      </x:c>
      <x:c r="C31" t="str">
        <x:v>East</x:v>
      </x:c>
      <x:c r="D31" t="str">
        <x:v>Electronics</x:v>
      </x:c>
      <x:c r="E31" t="str">
        <x:v>Laptop</x:v>
      </x:c>
      <x:c r="F31" s="40" t="n">
        <x:v>1</x:v>
      </x:c>
      <x:c r="G31" s="38" t="n">
        <x:v>55000</x:v>
      </x:c>
      <x:c r="H31" s="38" t="n">
        <x:v>47000</x:v>
      </x:c>
      <x:c r="I31" s="38" t="n">
        <x:v>55000</x:v>
      </x:c>
      <x:c r="J31" t="str">
        <x:v>Completed</x:v>
      </x:c>
      <x:c r="K31" t="str">
        <x:v>Rahul</x:v>
      </x:c>
      <x:c r="L31" s="38" t="n">
        <x:v>8000</x:v>
      </x:c>
    </x:row>
    <x:row r="32">
      <x:c r="A32" t="str">
        <x:v>O028</x:v>
      </x:c>
      <x:c r="B32" s="36" t="n">
        <x:v>46217</x:v>
      </x:c>
      <x:c r="C32" t="str">
        <x:v>West</x:v>
      </x:c>
      <x:c r="D32" t="str">
        <x:v>Accessories</x:v>
      </x:c>
      <x:c r="E32" t="str">
        <x:v>Mouse</x:v>
      </x:c>
      <x:c r="F32" s="40" t="n">
        <x:v>2</x:v>
      </x:c>
      <x:c r="G32" s="38" t="n">
        <x:v>1200</x:v>
      </x:c>
      <x:c r="H32" s="38" t="n">
        <x:v>1400</x:v>
      </x:c>
      <x:c r="I32" s="38" t="n">
        <x:v>2400</x:v>
      </x:c>
      <x:c r="J32" t="str">
        <x:v>Pending</x:v>
      </x:c>
      <x:c r="K32" t="str">
        <x:v>Neha</x:v>
      </x:c>
      <x:c r="L32" s="38" t="n">
        <x:v>1000</x:v>
      </x:c>
    </x:row>
    <x:row r="33">
      <x:c r="A33" t="str">
        <x:v>O029</x:v>
      </x:c>
      <x:c r="B33" s="36" t="n">
        <x:v>46222</x:v>
      </x:c>
      <x:c r="C33" t="str">
        <x:v>North</x:v>
      </x:c>
      <x:c r="D33" t="str">
        <x:v>Accessories</x:v>
      </x:c>
      <x:c r="E33" t="str">
        <x:v>Keyboard</x:v>
      </x:c>
      <x:c r="F33" s="40" t="n">
        <x:v>3</x:v>
      </x:c>
      <x:c r="G33" s="38" t="n">
        <x:v>2500</x:v>
      </x:c>
      <x:c r="H33" s="38" t="n">
        <x:v>4500</x:v>
      </x:c>
      <x:c r="I33" s="38" t="n">
        <x:v>7500</x:v>
      </x:c>
      <x:c r="J33" t="str">
        <x:v>Cancelled</x:v>
      </x:c>
      <x:c r="K33" t="str">
        <x:v>Aman</x:v>
      </x:c>
      <x:c r="L33" s="38" t="n">
        <x:v>3000</x:v>
      </x:c>
    </x:row>
    <x:row r="34">
      <x:c r="A34" t="str">
        <x:v>O030</x:v>
      </x:c>
      <x:c r="B34" s="36" t="n">
        <x:v>46227</x:v>
      </x:c>
      <x:c r="C34" t="str">
        <x:v>South</x:v>
      </x:c>
      <x:c r="D34" t="str">
        <x:v>Electronics</x:v>
      </x:c>
      <x:c r="E34" t="str">
        <x:v>Monitor</x:v>
      </x:c>
      <x:c r="F34" s="40" t="n">
        <x:v>4</x:v>
      </x:c>
      <x:c r="G34" s="38" t="n">
        <x:v>18000</x:v>
      </x:c>
      <x:c r="H34" s="38" t="n">
        <x:v>58000</x:v>
      </x:c>
      <x:c r="I34" s="38" t="n">
        <x:v>72000</x:v>
      </x:c>
      <x:c r="J34" t="str">
        <x:v>Completed</x:v>
      </x:c>
      <x:c r="K34" t="str">
        <x:v>Riya</x:v>
      </x:c>
      <x:c r="L34" s="38" t="n">
        <x:v>14000</x:v>
      </x:c>
    </x:row>
    <x:row r="35">
      <x:c r="A35" t="str">
        <x:v>O031</x:v>
      </x:c>
      <x:c r="B35" s="36" t="n">
        <x:v>46232</x:v>
      </x:c>
      <x:c r="C35" t="str">
        <x:v>East</x:v>
      </x:c>
      <x:c r="D35" t="str">
        <x:v>Accessories</x:v>
      </x:c>
      <x:c r="E35" t="str">
        <x:v>Headphones</x:v>
      </x:c>
      <x:c r="F35" s="40" t="n">
        <x:v>5</x:v>
      </x:c>
      <x:c r="G35" s="38" t="n">
        <x:v>3500</x:v>
      </x:c>
      <x:c r="H35" s="38" t="n">
        <x:v>11000</x:v>
      </x:c>
      <x:c r="I35" s="38" t="n">
        <x:v>17500</x:v>
      </x:c>
      <x:c r="J35" t="str">
        <x:v>Pending</x:v>
      </x:c>
      <x:c r="K35" t="str">
        <x:v>Rahul</x:v>
      </x:c>
      <x:c r="L35" s="38" t="n">
        <x:v>6500</x:v>
      </x:c>
    </x:row>
    <x:row r="36">
      <x:c r="A36" t="str">
        <x:v>O032</x:v>
      </x:c>
      <x:c r="B36" s="36" t="n">
        <x:v>46237</x:v>
      </x:c>
      <x:c r="C36" t="str">
        <x:v>West</x:v>
      </x:c>
      <x:c r="D36" t="str">
        <x:v>Electronics</x:v>
      </x:c>
      <x:c r="E36" t="str">
        <x:v>Printer</x:v>
      </x:c>
      <x:c r="F36" s="40" t="n">
        <x:v>6</x:v>
      </x:c>
      <x:c r="G36" s="38" t="n">
        <x:v>12000</x:v>
      </x:c>
      <x:c r="H36" s="38" t="n">
        <x:v>57000</x:v>
      </x:c>
      <x:c r="I36" s="38" t="n">
        <x:v>72000</x:v>
      </x:c>
      <x:c r="J36" t="str">
        <x:v>Cancelled</x:v>
      </x:c>
      <x:c r="K36" t="str">
        <x:v>Neha</x:v>
      </x:c>
      <x:c r="L36" s="38" t="n">
        <x:v>15000</x:v>
      </x:c>
    </x:row>
    <x:row r="37">
      <x:c r="A37" t="str">
        <x:v>O033</x:v>
      </x:c>
      <x:c r="B37" s="36" t="n">
        <x:v>46242</x:v>
      </x:c>
      <x:c r="C37" t="str">
        <x:v>North</x:v>
      </x:c>
      <x:c r="D37" t="str">
        <x:v>Electronics</x:v>
      </x:c>
      <x:c r="E37" t="str">
        <x:v>Laptop</x:v>
      </x:c>
      <x:c r="F37" s="40" t="n">
        <x:v>1</x:v>
      </x:c>
      <x:c r="G37" s="38" t="n">
        <x:v>55000</x:v>
      </x:c>
      <x:c r="H37" s="38" t="n">
        <x:v>47000</x:v>
      </x:c>
      <x:c r="I37" s="38" t="n">
        <x:v>55000</x:v>
      </x:c>
      <x:c r="J37" t="str">
        <x:v>Completed</x:v>
      </x:c>
      <x:c r="K37" t="str">
        <x:v>Aman</x:v>
      </x:c>
      <x:c r="L37" s="38" t="n">
        <x:v>8000</x:v>
      </x:c>
    </x:row>
    <x:row r="38">
      <x:c r="A38" t="str">
        <x:v>O034</x:v>
      </x:c>
      <x:c r="B38" s="36" t="n">
        <x:v>46247</x:v>
      </x:c>
      <x:c r="C38" t="str">
        <x:v>South</x:v>
      </x:c>
      <x:c r="D38" t="str">
        <x:v>Accessories</x:v>
      </x:c>
      <x:c r="E38" t="str">
        <x:v>Mouse</x:v>
      </x:c>
      <x:c r="F38" s="40" t="n">
        <x:v>2</x:v>
      </x:c>
      <x:c r="G38" s="38" t="n">
        <x:v>1200</x:v>
      </x:c>
      <x:c r="H38" s="38" t="n">
        <x:v>1400</x:v>
      </x:c>
      <x:c r="I38" s="38" t="n">
        <x:v>2400</x:v>
      </x:c>
      <x:c r="J38" t="str">
        <x:v>Pending</x:v>
      </x:c>
      <x:c r="K38" t="str">
        <x:v>Riya</x:v>
      </x:c>
      <x:c r="L38" s="38" t="n">
        <x:v>1000</x:v>
      </x:c>
    </x:row>
    <x:row r="39">
      <x:c r="A39" t="str">
        <x:v>O035</x:v>
      </x:c>
      <x:c r="B39" s="36" t="n">
        <x:v>46252</x:v>
      </x:c>
      <x:c r="C39" t="str">
        <x:v>East</x:v>
      </x:c>
      <x:c r="D39" t="str">
        <x:v>Accessories</x:v>
      </x:c>
      <x:c r="E39" t="str">
        <x:v>Keyboard</x:v>
      </x:c>
      <x:c r="F39" s="40" t="n">
        <x:v>3</x:v>
      </x:c>
      <x:c r="G39" s="38" t="n">
        <x:v>2500</x:v>
      </x:c>
      <x:c r="H39" s="38" t="n">
        <x:v>4500</x:v>
      </x:c>
      <x:c r="I39" s="38" t="n">
        <x:v>7500</x:v>
      </x:c>
      <x:c r="J39" t="str">
        <x:v>Cancelled</x:v>
      </x:c>
      <x:c r="K39" t="str">
        <x:v>Rahul</x:v>
      </x:c>
      <x:c r="L39" s="38" t="n">
        <x:v>3000</x:v>
      </x:c>
    </x:row>
    <x:row r="40">
      <x:c r="A40" t="str">
        <x:v>O036</x:v>
      </x:c>
      <x:c r="B40" s="36" t="n">
        <x:v>46257</x:v>
      </x:c>
      <x:c r="C40" t="str">
        <x:v>West</x:v>
      </x:c>
      <x:c r="D40" t="str">
        <x:v>Electronics</x:v>
      </x:c>
      <x:c r="E40" t="str">
        <x:v>Monitor</x:v>
      </x:c>
      <x:c r="F40" s="40" t="n">
        <x:v>4</x:v>
      </x:c>
      <x:c r="G40" s="38" t="n">
        <x:v>18000</x:v>
      </x:c>
      <x:c r="H40" s="38" t="n">
        <x:v>58000</x:v>
      </x:c>
      <x:c r="I40" s="38" t="n">
        <x:v>72000</x:v>
      </x:c>
      <x:c r="J40" t="str">
        <x:v>Completed</x:v>
      </x:c>
      <x:c r="K40" t="str">
        <x:v>Neha</x:v>
      </x:c>
      <x:c r="L40" s="38" t="n">
        <x:v>14000</x:v>
      </x:c>
    </x:row>
    <x:row r="41">
      <x:c r="A41" t="str">
        <x:v>O037</x:v>
      </x:c>
      <x:c r="B41" s="36" t="n">
        <x:v>46262</x:v>
      </x:c>
      <x:c r="C41" t="str">
        <x:v>North</x:v>
      </x:c>
      <x:c r="D41" t="str">
        <x:v>Accessories</x:v>
      </x:c>
      <x:c r="E41" t="str">
        <x:v>Headphones</x:v>
      </x:c>
      <x:c r="F41" s="40" t="n">
        <x:v>5</x:v>
      </x:c>
      <x:c r="G41" s="38" t="n">
        <x:v>3500</x:v>
      </x:c>
      <x:c r="H41" s="38" t="n">
        <x:v>11000</x:v>
      </x:c>
      <x:c r="I41" s="38" t="n">
        <x:v>17500</x:v>
      </x:c>
      <x:c r="J41" t="str">
        <x:v>Pending</x:v>
      </x:c>
      <x:c r="K41" t="str">
        <x:v>Aman</x:v>
      </x:c>
      <x:c r="L41" s="38" t="n">
        <x:v>6500</x:v>
      </x:c>
    </x:row>
    <x:row r="42">
      <x:c r="A42" t="str">
        <x:v>O038</x:v>
      </x:c>
      <x:c r="B42" s="36" t="n">
        <x:v>46267</x:v>
      </x:c>
      <x:c r="C42" t="str">
        <x:v>South</x:v>
      </x:c>
      <x:c r="D42" t="str">
        <x:v>Electronics</x:v>
      </x:c>
      <x:c r="E42" t="str">
        <x:v>Printer</x:v>
      </x:c>
      <x:c r="F42" s="40" t="n">
        <x:v>6</x:v>
      </x:c>
      <x:c r="G42" s="38" t="n">
        <x:v>12000</x:v>
      </x:c>
      <x:c r="H42" s="38" t="n">
        <x:v>57000</x:v>
      </x:c>
      <x:c r="I42" s="38" t="n">
        <x:v>72000</x:v>
      </x:c>
      <x:c r="J42" t="str">
        <x:v>Cancelled</x:v>
      </x:c>
      <x:c r="K42" t="str">
        <x:v>Riya</x:v>
      </x:c>
      <x:c r="L42" s="38" t="n">
        <x:v>15000</x:v>
      </x:c>
    </x:row>
    <x:row r="43">
      <x:c r="A43" t="str">
        <x:v>O039</x:v>
      </x:c>
      <x:c r="B43" s="36" t="n">
        <x:v>46272</x:v>
      </x:c>
      <x:c r="C43" t="str">
        <x:v>East</x:v>
      </x:c>
      <x:c r="D43" t="str">
        <x:v>Electronics</x:v>
      </x:c>
      <x:c r="E43" t="str">
        <x:v>Laptop</x:v>
      </x:c>
      <x:c r="F43" s="40" t="n">
        <x:v>1</x:v>
      </x:c>
      <x:c r="G43" s="38" t="n">
        <x:v>55000</x:v>
      </x:c>
      <x:c r="H43" s="38" t="n">
        <x:v>47000</x:v>
      </x:c>
      <x:c r="I43" s="38" t="n">
        <x:v>55000</x:v>
      </x:c>
      <x:c r="J43" t="str">
        <x:v>Completed</x:v>
      </x:c>
      <x:c r="K43" t="str">
        <x:v>Rahul</x:v>
      </x:c>
      <x:c r="L43" s="38" t="n">
        <x:v>8000</x:v>
      </x:c>
    </x:row>
    <x:row r="44">
      <x:c r="A44" t="str">
        <x:v>O040</x:v>
      </x:c>
      <x:c r="B44" s="36" t="n">
        <x:v>46277</x:v>
      </x:c>
      <x:c r="C44" t="str">
        <x:v>West</x:v>
      </x:c>
      <x:c r="D44" t="str">
        <x:v>Accessories</x:v>
      </x:c>
      <x:c r="E44" t="str">
        <x:v>Mouse</x:v>
      </x:c>
      <x:c r="F44" s="40" t="n">
        <x:v>2</x:v>
      </x:c>
      <x:c r="G44" s="38" t="n">
        <x:v>1200</x:v>
      </x:c>
      <x:c r="H44" s="38" t="n">
        <x:v>1400</x:v>
      </x:c>
      <x:c r="I44" s="38" t="n">
        <x:v>2400</x:v>
      </x:c>
      <x:c r="J44" t="str">
        <x:v>Pending</x:v>
      </x:c>
      <x:c r="K44" t="str">
        <x:v>Neha</x:v>
      </x:c>
      <x:c r="L44" s="38" t="n">
        <x:v>1000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f183d942e0245b4"/>
  </x:tableParts>
</x:worksheet>
</file>

<file path=xl/worksheets/sheet3.xml><?xml version="1.0" encoding="utf-8"?>
<x:worksheet xmlns:x="http://schemas.openxmlformats.org/spreadsheetml/2006/main">
  <x:sheetFormatPr defaultRowHeight="15"/>
  <x:cols>
    <x:col min="7" max="7" width="20" hidden="0" customWidth="1"/>
    <x:col min="8" max="8" width="42" hidden="0" customWidth="1"/>
  </x:cols>
  <x:sheetData>
    <x:row r="1" ht="28" customHeight="1">
      <x:c r="A1" s="5" t="str">
        <x:v>Pivot-Style Summary</x:v>
      </x:c>
    </x:row>
    <x:row r="2" ht="24" customHeight="1">
      <x:c r="A2" s="18" t="str">
        <x:v>This sheet prebuilds the expected analytical layout; use desktop Excel to create the actual PivotTable.</x:v>
      </x:c>
    </x:row>
    <x:row r="4">
      <x:c r="A4" s="24" t="str">
        <x:v>Region</x:v>
      </x:c>
      <x:c r="B4" s="24" t="str">
        <x:v>Accessories</x:v>
      </x:c>
      <x:c r="C4" s="24" t="str">
        <x:v>Electronics</x:v>
      </x:c>
      <x:c r="D4" s="24" t="str">
        <x:v>Grand Total</x:v>
      </x:c>
      <x:c r="E4" s="24" t="str">
        <x:v>% of Grand Total</x:v>
      </x:c>
      <x:c r="G4" s="24" t="str">
        <x:v>Desktop Excel Steps</x:v>
      </x:c>
      <x:c r="H4" s="24" t="str">
        <x:v>Action</x:v>
      </x:c>
    </x:row>
    <x:row r="5">
      <x:c r="A5" t="str">
        <x:v>North</x:v>
      </x:c>
      <x:c r="B5" s="38" t="n">
        <x:f>SUMIFS(Sales_Data!$I$5:$I$44,Sales_Data!$C$5:$C$44,$A5,Sales_Data!$D$5:$D$44,B$4)</x:f>
        <x:v>87000</x:v>
      </x:c>
      <x:c r="C5" s="38" t="n">
        <x:f>SUMIFS(Sales_Data!$I$5:$I$44,Sales_Data!$C$5:$C$44,$A5,Sales_Data!$D$5:$D$44,C$4)</x:f>
        <x:v>275000</x:v>
      </x:c>
      <x:c r="D5" s="38" t="n">
        <x:f>SUM(B5:C5)</x:f>
        <x:v>362000</x:v>
      </x:c>
      <x:c r="E5" s="42" t="n">
        <x:f>D5/$D$9</x:f>
        <x:v>0.2356924278924409</x:v>
      </x:c>
      <x:c r="G5" t="str">
        <x:v>1</x:v>
      </x:c>
      <x:c r="H5" t="str">
        <x:v>Select any cell in Sales_Data</x:v>
      </x:c>
    </x:row>
    <x:row r="6">
      <x:c r="A6" t="str">
        <x:v>South</x:v>
      </x:c>
      <x:c r="B6" s="38" t="n">
        <x:f>SUMIFS(Sales_Data!$I$5:$I$44,Sales_Data!$C$5:$C$44,$A6,Sales_Data!$D$5:$D$44,B$4)</x:f>
        <x:v>13200</x:v>
      </x:c>
      <x:c r="C6" s="38" t="n">
        <x:f>SUMIFS(Sales_Data!$I$5:$I$44,Sales_Data!$C$5:$C$44,$A6,Sales_Data!$D$5:$D$44,C$4)</x:f>
        <x:v>396000</x:v>
      </x:c>
      <x:c r="D6" s="38" t="n">
        <x:f>SUM(B6:C6)</x:f>
        <x:v>409200</x:v>
      </x:c>
      <x:c r="E6" s="42" t="n">
        <x:f>D6/$D$9</x:f>
        <x:v>0.26642359528615145</x:v>
      </x:c>
      <x:c r="G6" t="str">
        <x:v>2</x:v>
      </x:c>
      <x:c r="H6" t="str">
        <x:v>Insert → PivotTable</x:v>
      </x:c>
    </x:row>
    <x:row r="7">
      <x:c r="A7" t="str">
        <x:v>East</x:v>
      </x:c>
      <x:c r="B7" s="38" t="n">
        <x:f>SUMIFS(Sales_Data!$I$5:$I$44,Sales_Data!$C$5:$C$44,$A7,Sales_Data!$D$5:$D$44,B$4)</x:f>
        <x:v>57500</x:v>
      </x:c>
      <x:c r="C7" s="38" t="n">
        <x:f>SUMIFS(Sales_Data!$I$5:$I$44,Sales_Data!$C$5:$C$44,$A7,Sales_Data!$D$5:$D$44,C$4)</x:f>
        <x:v>275000</x:v>
      </x:c>
      <x:c r="D7" s="38" t="n">
        <x:f>SUM(B7:C7)</x:f>
        <x:v>332500</x:v>
      </x:c>
      <x:c r="E7" s="42" t="n">
        <x:f>D7/$D$9</x:f>
        <x:v>0.21648544827137184</x:v>
      </x:c>
      <x:c r="G7" t="str">
        <x:v>3</x:v>
      </x:c>
      <x:c r="H7" t="str">
        <x:v>Rows → Region</x:v>
      </x:c>
    </x:row>
    <x:row r="8">
      <x:c r="A8" t="str">
        <x:v>West</x:v>
      </x:c>
      <x:c r="B8" s="38" t="n">
        <x:f>SUMIFS(Sales_Data!$I$5:$I$44,Sales_Data!$C$5:$C$44,$A8,Sales_Data!$D$5:$D$44,B$4)</x:f>
        <x:v>17200</x:v>
      </x:c>
      <x:c r="C8" s="38" t="n">
        <x:f>SUMIFS(Sales_Data!$I$5:$I$44,Sales_Data!$C$5:$C$44,$A8,Sales_Data!$D$5:$D$44,C$4)</x:f>
        <x:v>415000</x:v>
      </x:c>
      <x:c r="D8" s="38" t="n">
        <x:f>SUM(B8:C8)</x:f>
        <x:v>432200</x:v>
      </x:c>
      <x:c r="E8" s="42" t="n">
        <x:f>D8/$D$9</x:f>
        <x:v>0.28139852855003583</x:v>
      </x:c>
      <x:c r="G8" t="str">
        <x:v>4</x:v>
      </x:c>
      <x:c r="H8" t="str">
        <x:v>Columns → Category</x:v>
      </x:c>
    </x:row>
    <x:row r="9">
      <x:c r="A9" s="30" t="str">
        <x:v>Grand Total</x:v>
      </x:c>
      <x:c r="B9" s="46" t="n">
        <x:f>SUM(B5:B8)</x:f>
        <x:v>174900</x:v>
      </x:c>
      <x:c r="C9" s="46" t="n">
        <x:f>SUM(C5:C8)</x:f>
        <x:v>1361000</x:v>
      </x:c>
      <x:c r="D9" s="46" t="n">
        <x:f>SUM(D5:D8)</x:f>
        <x:v>1535900</x:v>
      </x:c>
      <x:c r="E9" s="47" t="n">
        <x:f>SUM(E5:E8)</x:f>
        <x:v>1</x:v>
      </x:c>
      <x:c r="G9" t="str">
        <x:v>5</x:v>
      </x:c>
      <x:c r="H9" t="str">
        <x:v>Values → Revenue (Sum)</x:v>
      </x:c>
    </x:row>
    <x:row r="10">
      <x:c r="G10" t="str">
        <x:v>6</x:v>
      </x:c>
      <x:c r="H10" t="str">
        <x:v>Filters → Status</x:v>
      </x:c>
    </x:row>
  </x:sheetData>
  <x:mergeCells>
    <x:mergeCell ref="A1:E1"/>
    <x:mergeCell ref="A2:E2"/>
  </x:mergeCells>
  <x:pageMargins left="0.7" right="0.7" top="0.75" bottom="0.75" header="0.3" footer="0.3"/>
</x:worksheet>
</file>