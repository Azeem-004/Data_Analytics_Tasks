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ZEEM\Downloads\"/>
    </mc:Choice>
  </mc:AlternateContent>
  <xr:revisionPtr revIDLastSave="0" documentId="13_ncr:1_{88508072-FE50-4826-B5FA-FBAD998D177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hart1" sheetId="4" r:id="rId1"/>
    <sheet name="Dashboard" sheetId="1" r:id="rId2"/>
    <sheet name="Analysis" sheetId="2" r:id="rId3"/>
    <sheet name="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01" i="3" l="1"/>
  <c r="Q301" i="3" s="1"/>
  <c r="R301" i="3" s="1"/>
  <c r="P300" i="3"/>
  <c r="Q300" i="3" s="1"/>
  <c r="R300" i="3" s="1"/>
  <c r="P299" i="3"/>
  <c r="Q299" i="3" s="1"/>
  <c r="R299" i="3" s="1"/>
  <c r="P298" i="3"/>
  <c r="Q298" i="3" s="1"/>
  <c r="R298" i="3" s="1"/>
  <c r="P297" i="3"/>
  <c r="Q297" i="3" s="1"/>
  <c r="R297" i="3" s="1"/>
  <c r="P296" i="3"/>
  <c r="Q296" i="3" s="1"/>
  <c r="R296" i="3" s="1"/>
  <c r="R295" i="3"/>
  <c r="Q295" i="3"/>
  <c r="P295" i="3"/>
  <c r="P294" i="3"/>
  <c r="Q294" i="3" s="1"/>
  <c r="R294" i="3" s="1"/>
  <c r="P293" i="3"/>
  <c r="Q293" i="3" s="1"/>
  <c r="R293" i="3" s="1"/>
  <c r="R292" i="3"/>
  <c r="Q292" i="3"/>
  <c r="P292" i="3"/>
  <c r="Q291" i="3"/>
  <c r="R291" i="3" s="1"/>
  <c r="P291" i="3"/>
  <c r="Q290" i="3"/>
  <c r="R290" i="3" s="1"/>
  <c r="P290" i="3"/>
  <c r="Q289" i="3"/>
  <c r="R289" i="3" s="1"/>
  <c r="P289" i="3"/>
  <c r="P288" i="3"/>
  <c r="Q288" i="3" s="1"/>
  <c r="R288" i="3" s="1"/>
  <c r="Q287" i="3"/>
  <c r="R287" i="3" s="1"/>
  <c r="P287" i="3"/>
  <c r="P286" i="3"/>
  <c r="Q286" i="3" s="1"/>
  <c r="R286" i="3" s="1"/>
  <c r="P285" i="3"/>
  <c r="Q285" i="3" s="1"/>
  <c r="R285" i="3" s="1"/>
  <c r="P284" i="3"/>
  <c r="Q284" i="3" s="1"/>
  <c r="R284" i="3" s="1"/>
  <c r="P283" i="3"/>
  <c r="Q283" i="3" s="1"/>
  <c r="R283" i="3" s="1"/>
  <c r="P282" i="3"/>
  <c r="Q282" i="3" s="1"/>
  <c r="R282" i="3" s="1"/>
  <c r="P281" i="3"/>
  <c r="Q281" i="3" s="1"/>
  <c r="R281" i="3" s="1"/>
  <c r="P280" i="3"/>
  <c r="Q280" i="3" s="1"/>
  <c r="R280" i="3" s="1"/>
  <c r="R279" i="3"/>
  <c r="Q279" i="3"/>
  <c r="P279" i="3"/>
  <c r="P278" i="3"/>
  <c r="Q278" i="3" s="1"/>
  <c r="R278" i="3" s="1"/>
  <c r="P277" i="3"/>
  <c r="Q277" i="3" s="1"/>
  <c r="R277" i="3" s="1"/>
  <c r="R276" i="3"/>
  <c r="Q276" i="3"/>
  <c r="P276" i="3"/>
  <c r="Q275" i="3"/>
  <c r="R275" i="3" s="1"/>
  <c r="P275" i="3"/>
  <c r="Q274" i="3"/>
  <c r="R274" i="3" s="1"/>
  <c r="P274" i="3"/>
  <c r="Q273" i="3"/>
  <c r="R273" i="3" s="1"/>
  <c r="P273" i="3"/>
  <c r="P272" i="3"/>
  <c r="Q272" i="3" s="1"/>
  <c r="R272" i="3" s="1"/>
  <c r="Q271" i="3"/>
  <c r="R271" i="3" s="1"/>
  <c r="P271" i="3"/>
  <c r="P270" i="3"/>
  <c r="Q270" i="3" s="1"/>
  <c r="R270" i="3" s="1"/>
  <c r="P269" i="3"/>
  <c r="Q269" i="3" s="1"/>
  <c r="R269" i="3" s="1"/>
  <c r="P268" i="3"/>
  <c r="Q268" i="3" s="1"/>
  <c r="R268" i="3" s="1"/>
  <c r="P267" i="3"/>
  <c r="Q267" i="3" s="1"/>
  <c r="R267" i="3" s="1"/>
  <c r="P266" i="3"/>
  <c r="Q266" i="3" s="1"/>
  <c r="R266" i="3" s="1"/>
  <c r="P265" i="3"/>
  <c r="Q265" i="3" s="1"/>
  <c r="R265" i="3" s="1"/>
  <c r="P264" i="3"/>
  <c r="Q264" i="3" s="1"/>
  <c r="R264" i="3" s="1"/>
  <c r="R263" i="3"/>
  <c r="Q263" i="3"/>
  <c r="P263" i="3"/>
  <c r="P262" i="3"/>
  <c r="Q262" i="3" s="1"/>
  <c r="R262" i="3" s="1"/>
  <c r="P261" i="3"/>
  <c r="Q261" i="3" s="1"/>
  <c r="R261" i="3" s="1"/>
  <c r="R260" i="3"/>
  <c r="Q260" i="3"/>
  <c r="P260" i="3"/>
  <c r="Q259" i="3"/>
  <c r="R259" i="3" s="1"/>
  <c r="P259" i="3"/>
  <c r="Q258" i="3"/>
  <c r="R258" i="3" s="1"/>
  <c r="P258" i="3"/>
  <c r="Q257" i="3"/>
  <c r="R257" i="3" s="1"/>
  <c r="P257" i="3"/>
  <c r="P256" i="3"/>
  <c r="Q256" i="3" s="1"/>
  <c r="R256" i="3" s="1"/>
  <c r="Q255" i="3"/>
  <c r="R255" i="3" s="1"/>
  <c r="P255" i="3"/>
  <c r="P254" i="3"/>
  <c r="Q254" i="3" s="1"/>
  <c r="R254" i="3" s="1"/>
  <c r="P253" i="3"/>
  <c r="Q253" i="3" s="1"/>
  <c r="R253" i="3" s="1"/>
  <c r="P252" i="3"/>
  <c r="Q252" i="3" s="1"/>
  <c r="R252" i="3" s="1"/>
  <c r="P251" i="3"/>
  <c r="Q251" i="3" s="1"/>
  <c r="R251" i="3" s="1"/>
  <c r="P250" i="3"/>
  <c r="Q250" i="3" s="1"/>
  <c r="R250" i="3" s="1"/>
  <c r="P249" i="3"/>
  <c r="Q249" i="3" s="1"/>
  <c r="R249" i="3" s="1"/>
  <c r="P248" i="3"/>
  <c r="Q248" i="3" s="1"/>
  <c r="R248" i="3" s="1"/>
  <c r="R247" i="3"/>
  <c r="Q247" i="3"/>
  <c r="P247" i="3"/>
  <c r="P246" i="3"/>
  <c r="Q246" i="3" s="1"/>
  <c r="R246" i="3" s="1"/>
  <c r="P245" i="3"/>
  <c r="Q245" i="3" s="1"/>
  <c r="R245" i="3" s="1"/>
  <c r="R244" i="3"/>
  <c r="Q244" i="3"/>
  <c r="P244" i="3"/>
  <c r="Q243" i="3"/>
  <c r="R243" i="3" s="1"/>
  <c r="P243" i="3"/>
  <c r="Q242" i="3"/>
  <c r="R242" i="3" s="1"/>
  <c r="P242" i="3"/>
  <c r="Q241" i="3"/>
  <c r="R241" i="3" s="1"/>
  <c r="P241" i="3"/>
  <c r="P240" i="3"/>
  <c r="Q240" i="3" s="1"/>
  <c r="R240" i="3" s="1"/>
  <c r="Q239" i="3"/>
  <c r="R239" i="3" s="1"/>
  <c r="P239" i="3"/>
  <c r="P238" i="3"/>
  <c r="Q238" i="3" s="1"/>
  <c r="R238" i="3" s="1"/>
  <c r="P237" i="3"/>
  <c r="Q237" i="3" s="1"/>
  <c r="R237" i="3" s="1"/>
  <c r="P236" i="3"/>
  <c r="Q236" i="3" s="1"/>
  <c r="R236" i="3" s="1"/>
  <c r="P235" i="3"/>
  <c r="Q235" i="3" s="1"/>
  <c r="R235" i="3" s="1"/>
  <c r="P234" i="3"/>
  <c r="Q234" i="3" s="1"/>
  <c r="R234" i="3" s="1"/>
  <c r="P233" i="3"/>
  <c r="Q233" i="3" s="1"/>
  <c r="R233" i="3" s="1"/>
  <c r="P232" i="3"/>
  <c r="Q232" i="3" s="1"/>
  <c r="R232" i="3" s="1"/>
  <c r="R231" i="3"/>
  <c r="Q231" i="3"/>
  <c r="P231" i="3"/>
  <c r="P230" i="3"/>
  <c r="Q230" i="3" s="1"/>
  <c r="R230" i="3" s="1"/>
  <c r="P229" i="3"/>
  <c r="Q229" i="3" s="1"/>
  <c r="R229" i="3" s="1"/>
  <c r="R228" i="3"/>
  <c r="Q228" i="3"/>
  <c r="P228" i="3"/>
  <c r="Q227" i="3"/>
  <c r="R227" i="3" s="1"/>
  <c r="P227" i="3"/>
  <c r="Q226" i="3"/>
  <c r="R226" i="3" s="1"/>
  <c r="P226" i="3"/>
  <c r="Q225" i="3"/>
  <c r="R225" i="3" s="1"/>
  <c r="P225" i="3"/>
  <c r="P224" i="3"/>
  <c r="Q224" i="3" s="1"/>
  <c r="R224" i="3" s="1"/>
  <c r="Q223" i="3"/>
  <c r="R223" i="3" s="1"/>
  <c r="P223" i="3"/>
  <c r="P222" i="3"/>
  <c r="Q222" i="3" s="1"/>
  <c r="R222" i="3" s="1"/>
  <c r="P221" i="3"/>
  <c r="Q221" i="3" s="1"/>
  <c r="R221" i="3" s="1"/>
  <c r="P220" i="3"/>
  <c r="Q220" i="3" s="1"/>
  <c r="R220" i="3" s="1"/>
  <c r="P219" i="3"/>
  <c r="Q219" i="3" s="1"/>
  <c r="R219" i="3" s="1"/>
  <c r="P218" i="3"/>
  <c r="Q218" i="3" s="1"/>
  <c r="R218" i="3" s="1"/>
  <c r="P217" i="3"/>
  <c r="Q217" i="3" s="1"/>
  <c r="R217" i="3" s="1"/>
  <c r="P216" i="3"/>
  <c r="Q216" i="3" s="1"/>
  <c r="R216" i="3" s="1"/>
  <c r="R215" i="3"/>
  <c r="Q215" i="3"/>
  <c r="P215" i="3"/>
  <c r="P214" i="3"/>
  <c r="Q214" i="3" s="1"/>
  <c r="R214" i="3" s="1"/>
  <c r="P213" i="3"/>
  <c r="Q213" i="3" s="1"/>
  <c r="R213" i="3" s="1"/>
  <c r="R212" i="3"/>
  <c r="Q212" i="3"/>
  <c r="P212" i="3"/>
  <c r="Q211" i="3"/>
  <c r="R211" i="3" s="1"/>
  <c r="P211" i="3"/>
  <c r="Q210" i="3"/>
  <c r="R210" i="3" s="1"/>
  <c r="P210" i="3"/>
  <c r="Q209" i="3"/>
  <c r="R209" i="3" s="1"/>
  <c r="P209" i="3"/>
  <c r="P208" i="3"/>
  <c r="Q208" i="3" s="1"/>
  <c r="R208" i="3" s="1"/>
  <c r="P207" i="3"/>
  <c r="Q207" i="3" s="1"/>
  <c r="R207" i="3" s="1"/>
  <c r="P206" i="3"/>
  <c r="Q206" i="3" s="1"/>
  <c r="R206" i="3" s="1"/>
  <c r="P205" i="3"/>
  <c r="Q205" i="3" s="1"/>
  <c r="R205" i="3" s="1"/>
  <c r="P204" i="3"/>
  <c r="Q204" i="3" s="1"/>
  <c r="R204" i="3" s="1"/>
  <c r="P203" i="3"/>
  <c r="Q203" i="3" s="1"/>
  <c r="R203" i="3" s="1"/>
  <c r="P202" i="3"/>
  <c r="Q202" i="3" s="1"/>
  <c r="R202" i="3" s="1"/>
  <c r="P201" i="3"/>
  <c r="Q201" i="3" s="1"/>
  <c r="R201" i="3" s="1"/>
  <c r="P200" i="3"/>
  <c r="Q200" i="3" s="1"/>
  <c r="R200" i="3" s="1"/>
  <c r="R199" i="3"/>
  <c r="Q199" i="3"/>
  <c r="P199" i="3"/>
  <c r="P198" i="3"/>
  <c r="Q198" i="3" s="1"/>
  <c r="R198" i="3" s="1"/>
  <c r="P197" i="3"/>
  <c r="Q197" i="3" s="1"/>
  <c r="R197" i="3" s="1"/>
  <c r="Q196" i="3"/>
  <c r="R196" i="3" s="1"/>
  <c r="P196" i="3"/>
  <c r="Q195" i="3"/>
  <c r="R195" i="3" s="1"/>
  <c r="P195" i="3"/>
  <c r="Q194" i="3"/>
  <c r="R194" i="3" s="1"/>
  <c r="P194" i="3"/>
  <c r="Q193" i="3"/>
  <c r="R193" i="3" s="1"/>
  <c r="P193" i="3"/>
  <c r="P192" i="3"/>
  <c r="Q192" i="3" s="1"/>
  <c r="R192" i="3" s="1"/>
  <c r="P191" i="3"/>
  <c r="Q191" i="3" s="1"/>
  <c r="R191" i="3" s="1"/>
  <c r="P190" i="3"/>
  <c r="Q190" i="3" s="1"/>
  <c r="R190" i="3" s="1"/>
  <c r="P189" i="3"/>
  <c r="Q189" i="3" s="1"/>
  <c r="R189" i="3" s="1"/>
  <c r="P188" i="3"/>
  <c r="Q188" i="3" s="1"/>
  <c r="R188" i="3" s="1"/>
  <c r="P187" i="3"/>
  <c r="Q187" i="3" s="1"/>
  <c r="R187" i="3" s="1"/>
  <c r="P186" i="3"/>
  <c r="Q186" i="3" s="1"/>
  <c r="R186" i="3" s="1"/>
  <c r="P185" i="3"/>
  <c r="Q185" i="3" s="1"/>
  <c r="R185" i="3" s="1"/>
  <c r="P184" i="3"/>
  <c r="Q184" i="3" s="1"/>
  <c r="R184" i="3" s="1"/>
  <c r="R183" i="3"/>
  <c r="Q183" i="3"/>
  <c r="P183" i="3"/>
  <c r="P182" i="3"/>
  <c r="Q182" i="3" s="1"/>
  <c r="R182" i="3" s="1"/>
  <c r="P181" i="3"/>
  <c r="Q181" i="3" s="1"/>
  <c r="R181" i="3" s="1"/>
  <c r="Q180" i="3"/>
  <c r="R180" i="3" s="1"/>
  <c r="P180" i="3"/>
  <c r="Q179" i="3"/>
  <c r="R179" i="3" s="1"/>
  <c r="P179" i="3"/>
  <c r="Q178" i="3"/>
  <c r="R178" i="3" s="1"/>
  <c r="P178" i="3"/>
  <c r="Q177" i="3"/>
  <c r="R177" i="3" s="1"/>
  <c r="P177" i="3"/>
  <c r="P176" i="3"/>
  <c r="Q176" i="3" s="1"/>
  <c r="R176" i="3" s="1"/>
  <c r="P175" i="3"/>
  <c r="Q175" i="3" s="1"/>
  <c r="R175" i="3" s="1"/>
  <c r="P174" i="3"/>
  <c r="Q174" i="3" s="1"/>
  <c r="R174" i="3" s="1"/>
  <c r="P173" i="3"/>
  <c r="Q173" i="3" s="1"/>
  <c r="R173" i="3" s="1"/>
  <c r="P172" i="3"/>
  <c r="Q172" i="3" s="1"/>
  <c r="R172" i="3" s="1"/>
  <c r="P171" i="3"/>
  <c r="Q171" i="3" s="1"/>
  <c r="R171" i="3" s="1"/>
  <c r="P170" i="3"/>
  <c r="Q170" i="3" s="1"/>
  <c r="R170" i="3" s="1"/>
  <c r="P169" i="3"/>
  <c r="Q169" i="3" s="1"/>
  <c r="R169" i="3" s="1"/>
  <c r="P168" i="3"/>
  <c r="Q168" i="3" s="1"/>
  <c r="R168" i="3" s="1"/>
  <c r="R167" i="3"/>
  <c r="Q167" i="3"/>
  <c r="P167" i="3"/>
  <c r="P166" i="3"/>
  <c r="Q166" i="3" s="1"/>
  <c r="R166" i="3" s="1"/>
  <c r="P165" i="3"/>
  <c r="Q165" i="3" s="1"/>
  <c r="R165" i="3" s="1"/>
  <c r="Q164" i="3"/>
  <c r="R164" i="3" s="1"/>
  <c r="P164" i="3"/>
  <c r="Q163" i="3"/>
  <c r="R163" i="3" s="1"/>
  <c r="P163" i="3"/>
  <c r="Q162" i="3"/>
  <c r="R162" i="3" s="1"/>
  <c r="P162" i="3"/>
  <c r="Q161" i="3"/>
  <c r="R161" i="3" s="1"/>
  <c r="P161" i="3"/>
  <c r="P160" i="3"/>
  <c r="Q160" i="3" s="1"/>
  <c r="R160" i="3" s="1"/>
  <c r="P159" i="3"/>
  <c r="Q159" i="3" s="1"/>
  <c r="R159" i="3" s="1"/>
  <c r="P158" i="3"/>
  <c r="Q158" i="3" s="1"/>
  <c r="R158" i="3" s="1"/>
  <c r="P157" i="3"/>
  <c r="Q157" i="3" s="1"/>
  <c r="R157" i="3" s="1"/>
  <c r="P156" i="3"/>
  <c r="Q156" i="3" s="1"/>
  <c r="R156" i="3" s="1"/>
  <c r="P155" i="3"/>
  <c r="Q155" i="3" s="1"/>
  <c r="R155" i="3" s="1"/>
  <c r="P154" i="3"/>
  <c r="Q154" i="3" s="1"/>
  <c r="R154" i="3" s="1"/>
  <c r="P153" i="3"/>
  <c r="Q153" i="3" s="1"/>
  <c r="R153" i="3" s="1"/>
  <c r="P152" i="3"/>
  <c r="Q152" i="3" s="1"/>
  <c r="R152" i="3" s="1"/>
  <c r="R151" i="3"/>
  <c r="Q151" i="3"/>
  <c r="P151" i="3"/>
  <c r="P150" i="3"/>
  <c r="Q150" i="3" s="1"/>
  <c r="R150" i="3" s="1"/>
  <c r="P149" i="3"/>
  <c r="Q149" i="3" s="1"/>
  <c r="R149" i="3" s="1"/>
  <c r="Q148" i="3"/>
  <c r="R148" i="3" s="1"/>
  <c r="P148" i="3"/>
  <c r="Q147" i="3"/>
  <c r="R147" i="3" s="1"/>
  <c r="P147" i="3"/>
  <c r="Q146" i="3"/>
  <c r="R146" i="3" s="1"/>
  <c r="P146" i="3"/>
  <c r="Q145" i="3"/>
  <c r="R145" i="3" s="1"/>
  <c r="P145" i="3"/>
  <c r="P144" i="3"/>
  <c r="Q144" i="3" s="1"/>
  <c r="R144" i="3" s="1"/>
  <c r="P143" i="3"/>
  <c r="Q143" i="3" s="1"/>
  <c r="R143" i="3" s="1"/>
  <c r="P142" i="3"/>
  <c r="Q142" i="3" s="1"/>
  <c r="R142" i="3" s="1"/>
  <c r="P141" i="3"/>
  <c r="Q141" i="3" s="1"/>
  <c r="R141" i="3" s="1"/>
  <c r="P140" i="3"/>
  <c r="Q140" i="3" s="1"/>
  <c r="R140" i="3" s="1"/>
  <c r="P139" i="3"/>
  <c r="Q139" i="3" s="1"/>
  <c r="R139" i="3" s="1"/>
  <c r="P138" i="3"/>
  <c r="Q138" i="3" s="1"/>
  <c r="R138" i="3" s="1"/>
  <c r="P137" i="3"/>
  <c r="Q137" i="3" s="1"/>
  <c r="R137" i="3" s="1"/>
  <c r="P136" i="3"/>
  <c r="Q136" i="3" s="1"/>
  <c r="R136" i="3" s="1"/>
  <c r="R135" i="3"/>
  <c r="Q135" i="3"/>
  <c r="P135" i="3"/>
  <c r="P134" i="3"/>
  <c r="Q134" i="3" s="1"/>
  <c r="R134" i="3" s="1"/>
  <c r="P133" i="3"/>
  <c r="Q133" i="3" s="1"/>
  <c r="R133" i="3" s="1"/>
  <c r="Q132" i="3"/>
  <c r="R132" i="3" s="1"/>
  <c r="P132" i="3"/>
  <c r="Q131" i="3"/>
  <c r="R131" i="3" s="1"/>
  <c r="P131" i="3"/>
  <c r="Q130" i="3"/>
  <c r="R130" i="3" s="1"/>
  <c r="P130" i="3"/>
  <c r="Q129" i="3"/>
  <c r="R129" i="3" s="1"/>
  <c r="P129" i="3"/>
  <c r="P128" i="3"/>
  <c r="Q128" i="3" s="1"/>
  <c r="R128" i="3" s="1"/>
  <c r="P127" i="3"/>
  <c r="Q127" i="3" s="1"/>
  <c r="R127" i="3" s="1"/>
  <c r="P126" i="3"/>
  <c r="Q126" i="3" s="1"/>
  <c r="R126" i="3" s="1"/>
  <c r="P125" i="3"/>
  <c r="Q125" i="3" s="1"/>
  <c r="R125" i="3" s="1"/>
  <c r="P124" i="3"/>
  <c r="Q124" i="3" s="1"/>
  <c r="R124" i="3" s="1"/>
  <c r="P123" i="3"/>
  <c r="Q123" i="3" s="1"/>
  <c r="R123" i="3" s="1"/>
  <c r="P122" i="3"/>
  <c r="Q122" i="3" s="1"/>
  <c r="R122" i="3" s="1"/>
  <c r="P121" i="3"/>
  <c r="Q121" i="3" s="1"/>
  <c r="R121" i="3" s="1"/>
  <c r="P120" i="3"/>
  <c r="Q120" i="3" s="1"/>
  <c r="R120" i="3" s="1"/>
  <c r="R119" i="3"/>
  <c r="Q119" i="3"/>
  <c r="P119" i="3"/>
  <c r="P118" i="3"/>
  <c r="Q118" i="3" s="1"/>
  <c r="R118" i="3" s="1"/>
  <c r="P117" i="3"/>
  <c r="Q117" i="3" s="1"/>
  <c r="R117" i="3" s="1"/>
  <c r="Q116" i="3"/>
  <c r="R116" i="3" s="1"/>
  <c r="P116" i="3"/>
  <c r="Q115" i="3"/>
  <c r="R115" i="3" s="1"/>
  <c r="P115" i="3"/>
  <c r="Q114" i="3"/>
  <c r="R114" i="3" s="1"/>
  <c r="P114" i="3"/>
  <c r="Q113" i="3"/>
  <c r="R113" i="3" s="1"/>
  <c r="P113" i="3"/>
  <c r="P112" i="3"/>
  <c r="Q112" i="3" s="1"/>
  <c r="R112" i="3" s="1"/>
  <c r="P111" i="3"/>
  <c r="Q111" i="3" s="1"/>
  <c r="R111" i="3" s="1"/>
  <c r="P110" i="3"/>
  <c r="Q110" i="3" s="1"/>
  <c r="R110" i="3" s="1"/>
  <c r="P109" i="3"/>
  <c r="Q109" i="3" s="1"/>
  <c r="R109" i="3" s="1"/>
  <c r="P108" i="3"/>
  <c r="Q108" i="3" s="1"/>
  <c r="P107" i="3"/>
  <c r="Q107" i="3" s="1"/>
  <c r="R107" i="3" s="1"/>
  <c r="P106" i="3"/>
  <c r="Q106" i="3" s="1"/>
  <c r="R106" i="3" s="1"/>
  <c r="P105" i="3"/>
  <c r="Q105" i="3" s="1"/>
  <c r="R105" i="3" s="1"/>
  <c r="P104" i="3"/>
  <c r="Q104" i="3" s="1"/>
  <c r="R104" i="3" s="1"/>
  <c r="R103" i="3"/>
  <c r="Q103" i="3"/>
  <c r="P103" i="3"/>
  <c r="P102" i="3"/>
  <c r="Q102" i="3" s="1"/>
  <c r="R102" i="3" s="1"/>
  <c r="P101" i="3"/>
  <c r="Q101" i="3" s="1"/>
  <c r="R101" i="3" s="1"/>
  <c r="Q100" i="3"/>
  <c r="R100" i="3" s="1"/>
  <c r="P100" i="3"/>
  <c r="Q99" i="3"/>
  <c r="R99" i="3" s="1"/>
  <c r="P99" i="3"/>
  <c r="Q98" i="3"/>
  <c r="R98" i="3" s="1"/>
  <c r="P98" i="3"/>
  <c r="Q97" i="3"/>
  <c r="R97" i="3" s="1"/>
  <c r="P97" i="3"/>
  <c r="P96" i="3"/>
  <c r="Q96" i="3" s="1"/>
  <c r="R96" i="3" s="1"/>
  <c r="P95" i="3"/>
  <c r="Q95" i="3" s="1"/>
  <c r="R95" i="3" s="1"/>
  <c r="P94" i="3"/>
  <c r="Q94" i="3" s="1"/>
  <c r="R94" i="3" s="1"/>
  <c r="P93" i="3"/>
  <c r="Q93" i="3" s="1"/>
  <c r="R93" i="3" s="1"/>
  <c r="P92" i="3"/>
  <c r="Q92" i="3" s="1"/>
  <c r="R92" i="3" s="1"/>
  <c r="P91" i="3"/>
  <c r="Q91" i="3" s="1"/>
  <c r="R91" i="3" s="1"/>
  <c r="P90" i="3"/>
  <c r="Q90" i="3" s="1"/>
  <c r="R90" i="3" s="1"/>
  <c r="P89" i="3"/>
  <c r="Q89" i="3" s="1"/>
  <c r="R89" i="3" s="1"/>
  <c r="P88" i="3"/>
  <c r="Q88" i="3" s="1"/>
  <c r="R88" i="3" s="1"/>
  <c r="R87" i="3"/>
  <c r="Q87" i="3"/>
  <c r="P87" i="3"/>
  <c r="P86" i="3"/>
  <c r="Q86" i="3" s="1"/>
  <c r="R86" i="3" s="1"/>
  <c r="P85" i="3"/>
  <c r="Q85" i="3" s="1"/>
  <c r="R85" i="3" s="1"/>
  <c r="Q84" i="3"/>
  <c r="R84" i="3" s="1"/>
  <c r="P84" i="3"/>
  <c r="Q83" i="3"/>
  <c r="R83" i="3" s="1"/>
  <c r="P83" i="3"/>
  <c r="Q82" i="3"/>
  <c r="R82" i="3" s="1"/>
  <c r="P82" i="3"/>
  <c r="Q81" i="3"/>
  <c r="R81" i="3" s="1"/>
  <c r="P81" i="3"/>
  <c r="P80" i="3"/>
  <c r="Q80" i="3" s="1"/>
  <c r="R80" i="3" s="1"/>
  <c r="P79" i="3"/>
  <c r="Q79" i="3" s="1"/>
  <c r="R79" i="3" s="1"/>
  <c r="P78" i="3"/>
  <c r="Q78" i="3" s="1"/>
  <c r="R78" i="3" s="1"/>
  <c r="P77" i="3"/>
  <c r="Q77" i="3" s="1"/>
  <c r="R77" i="3" s="1"/>
  <c r="P76" i="3"/>
  <c r="Q76" i="3" s="1"/>
  <c r="R76" i="3" s="1"/>
  <c r="P75" i="3"/>
  <c r="Q75" i="3" s="1"/>
  <c r="R75" i="3" s="1"/>
  <c r="P74" i="3"/>
  <c r="Q74" i="3" s="1"/>
  <c r="R74" i="3" s="1"/>
  <c r="P73" i="3"/>
  <c r="Q73" i="3" s="1"/>
  <c r="R73" i="3" s="1"/>
  <c r="P72" i="3"/>
  <c r="Q72" i="3" s="1"/>
  <c r="R72" i="3" s="1"/>
  <c r="R71" i="3"/>
  <c r="Q71" i="3"/>
  <c r="P71" i="3"/>
  <c r="P70" i="3"/>
  <c r="Q70" i="3" s="1"/>
  <c r="R70" i="3" s="1"/>
  <c r="P69" i="3"/>
  <c r="Q69" i="3" s="1"/>
  <c r="R69" i="3" s="1"/>
  <c r="Q68" i="3"/>
  <c r="R68" i="3" s="1"/>
  <c r="P68" i="3"/>
  <c r="Q67" i="3"/>
  <c r="R67" i="3" s="1"/>
  <c r="P67" i="3"/>
  <c r="Q66" i="3"/>
  <c r="R66" i="3" s="1"/>
  <c r="P66" i="3"/>
  <c r="Q65" i="3"/>
  <c r="R65" i="3" s="1"/>
  <c r="P65" i="3"/>
  <c r="P64" i="3"/>
  <c r="Q64" i="3" s="1"/>
  <c r="R64" i="3" s="1"/>
  <c r="P63" i="3"/>
  <c r="Q63" i="3" s="1"/>
  <c r="R63" i="3" s="1"/>
  <c r="P62" i="3"/>
  <c r="Q62" i="3" s="1"/>
  <c r="R62" i="3" s="1"/>
  <c r="P61" i="3"/>
  <c r="Q61" i="3" s="1"/>
  <c r="R61" i="3" s="1"/>
  <c r="P60" i="3"/>
  <c r="Q60" i="3" s="1"/>
  <c r="P59" i="3"/>
  <c r="Q59" i="3" s="1"/>
  <c r="R59" i="3" s="1"/>
  <c r="P58" i="3"/>
  <c r="Q58" i="3" s="1"/>
  <c r="R58" i="3" s="1"/>
  <c r="P57" i="3"/>
  <c r="Q57" i="3" s="1"/>
  <c r="P56" i="3"/>
  <c r="Q56" i="3" s="1"/>
  <c r="R56" i="3" s="1"/>
  <c r="R55" i="3"/>
  <c r="Q55" i="3"/>
  <c r="P55" i="3"/>
  <c r="P54" i="3"/>
  <c r="Q54" i="3" s="1"/>
  <c r="R54" i="3" s="1"/>
  <c r="P53" i="3"/>
  <c r="Q53" i="3" s="1"/>
  <c r="R53" i="3" s="1"/>
  <c r="Q52" i="3"/>
  <c r="R52" i="3" s="1"/>
  <c r="P52" i="3"/>
  <c r="Q51" i="3"/>
  <c r="R51" i="3" s="1"/>
  <c r="P51" i="3"/>
  <c r="Q50" i="3"/>
  <c r="R50" i="3" s="1"/>
  <c r="P50" i="3"/>
  <c r="Q49" i="3"/>
  <c r="R49" i="3" s="1"/>
  <c r="P49" i="3"/>
  <c r="P48" i="3"/>
  <c r="Q48" i="3" s="1"/>
  <c r="R48" i="3" s="1"/>
  <c r="P47" i="3"/>
  <c r="Q47" i="3" s="1"/>
  <c r="R47" i="3" s="1"/>
  <c r="P46" i="3"/>
  <c r="Q46" i="3" s="1"/>
  <c r="R46" i="3" s="1"/>
  <c r="P45" i="3"/>
  <c r="Q45" i="3" s="1"/>
  <c r="R45" i="3" s="1"/>
  <c r="P44" i="3"/>
  <c r="Q44" i="3" s="1"/>
  <c r="R44" i="3" s="1"/>
  <c r="P43" i="3"/>
  <c r="Q43" i="3" s="1"/>
  <c r="R43" i="3" s="1"/>
  <c r="P42" i="3"/>
  <c r="Q42" i="3" s="1"/>
  <c r="P41" i="3"/>
  <c r="Q41" i="3" s="1"/>
  <c r="R41" i="3" s="1"/>
  <c r="P40" i="3"/>
  <c r="Q40" i="3" s="1"/>
  <c r="R40" i="3" s="1"/>
  <c r="R39" i="3"/>
  <c r="Q39" i="3"/>
  <c r="P39" i="3"/>
  <c r="P38" i="3"/>
  <c r="Q38" i="3" s="1"/>
  <c r="R38" i="3" s="1"/>
  <c r="P37" i="3"/>
  <c r="Q37" i="3" s="1"/>
  <c r="R37" i="3" s="1"/>
  <c r="Q36" i="3"/>
  <c r="R36" i="3" s="1"/>
  <c r="P36" i="3"/>
  <c r="Q35" i="3"/>
  <c r="R35" i="3" s="1"/>
  <c r="P35" i="3"/>
  <c r="Q34" i="3"/>
  <c r="R34" i="3" s="1"/>
  <c r="P34" i="3"/>
  <c r="Q33" i="3"/>
  <c r="R33" i="3" s="1"/>
  <c r="P33" i="3"/>
  <c r="P32" i="3"/>
  <c r="Q32" i="3" s="1"/>
  <c r="R32" i="3" s="1"/>
  <c r="P31" i="3"/>
  <c r="Q31" i="3" s="1"/>
  <c r="P30" i="3"/>
  <c r="Q30" i="3" s="1"/>
  <c r="R30" i="3" s="1"/>
  <c r="P29" i="3"/>
  <c r="Q29" i="3" s="1"/>
  <c r="R29" i="3" s="1"/>
  <c r="P28" i="3"/>
  <c r="Q28" i="3" s="1"/>
  <c r="P27" i="3"/>
  <c r="Q27" i="3" s="1"/>
  <c r="R27" i="3" s="1"/>
  <c r="P26" i="3"/>
  <c r="Q26" i="3" s="1"/>
  <c r="R26" i="3" s="1"/>
  <c r="P25" i="3"/>
  <c r="Q25" i="3" s="1"/>
  <c r="R25" i="3" s="1"/>
  <c r="P24" i="3"/>
  <c r="Q24" i="3" s="1"/>
  <c r="R24" i="3" s="1"/>
  <c r="R23" i="3"/>
  <c r="Q23" i="3"/>
  <c r="P23" i="3"/>
  <c r="P22" i="3"/>
  <c r="Q22" i="3" s="1"/>
  <c r="R22" i="3" s="1"/>
  <c r="P21" i="3"/>
  <c r="Q21" i="3" s="1"/>
  <c r="Q20" i="3"/>
  <c r="R20" i="3" s="1"/>
  <c r="P20" i="3"/>
  <c r="Q19" i="3"/>
  <c r="P19" i="3"/>
  <c r="Q18" i="3"/>
  <c r="R18" i="3" s="1"/>
  <c r="P18" i="3"/>
  <c r="Q17" i="3"/>
  <c r="R17" i="3" s="1"/>
  <c r="P17" i="3"/>
  <c r="P16" i="3"/>
  <c r="Q16" i="3" s="1"/>
  <c r="R16" i="3" s="1"/>
  <c r="P15" i="3"/>
  <c r="Q15" i="3" s="1"/>
  <c r="R15" i="3" s="1"/>
  <c r="P14" i="3"/>
  <c r="Q14" i="3" s="1"/>
  <c r="P13" i="3"/>
  <c r="Q13" i="3" s="1"/>
  <c r="P12" i="3"/>
  <c r="Q12" i="3" s="1"/>
  <c r="P11" i="3"/>
  <c r="Q11" i="3" s="1"/>
  <c r="R11" i="3" s="1"/>
  <c r="P10" i="3"/>
  <c r="Q10" i="3" s="1"/>
  <c r="P9" i="3"/>
  <c r="Q9" i="3" s="1"/>
  <c r="P8" i="3"/>
  <c r="Q8" i="3" s="1"/>
  <c r="R7" i="3"/>
  <c r="Q7" i="3"/>
  <c r="P7" i="3"/>
  <c r="P6" i="3"/>
  <c r="Q6" i="3" s="1"/>
  <c r="P5" i="3"/>
  <c r="Q5" i="3" s="1"/>
  <c r="Q4" i="3"/>
  <c r="R4" i="3" s="1"/>
  <c r="P4" i="3"/>
  <c r="Q3" i="3"/>
  <c r="P3" i="3"/>
  <c r="Q2" i="3"/>
  <c r="R2" i="3" s="1"/>
  <c r="P2" i="3"/>
  <c r="B8" i="2"/>
  <c r="B7" i="2"/>
  <c r="B3" i="2"/>
  <c r="B2" i="2"/>
  <c r="G6" i="1"/>
  <c r="D6" i="1"/>
  <c r="Q5" i="2" l="1"/>
  <c r="R31" i="3"/>
  <c r="R21" i="3"/>
  <c r="N9" i="2"/>
  <c r="N5" i="2"/>
  <c r="R10" i="3"/>
  <c r="N3" i="2"/>
  <c r="R12" i="3"/>
  <c r="R13" i="3"/>
  <c r="Q3" i="2"/>
  <c r="E3" i="2"/>
  <c r="K2" i="2"/>
  <c r="B5" i="2"/>
  <c r="E2" i="2"/>
  <c r="B9" i="2" s="1"/>
  <c r="N4" i="2"/>
  <c r="R14" i="3"/>
  <c r="R60" i="3"/>
  <c r="Q4" i="2"/>
  <c r="N12" i="2"/>
  <c r="Q2" i="2"/>
  <c r="R42" i="3"/>
  <c r="N6" i="2"/>
  <c r="R57" i="3"/>
  <c r="N10" i="2"/>
  <c r="R108" i="3"/>
  <c r="Q8" i="2"/>
  <c r="H3" i="2"/>
  <c r="R6" i="3"/>
  <c r="E5" i="2"/>
  <c r="Q9" i="2"/>
  <c r="N8" i="2"/>
  <c r="K3" i="2"/>
  <c r="E6" i="2"/>
  <c r="N2" i="2"/>
  <c r="H2" i="2"/>
  <c r="R8" i="3"/>
  <c r="N13" i="2"/>
  <c r="R9" i="3"/>
  <c r="N7" i="2"/>
  <c r="R28" i="3"/>
  <c r="Q7" i="2"/>
  <c r="Q6" i="2"/>
  <c r="N11" i="2"/>
  <c r="R5" i="3"/>
  <c r="K4" i="2"/>
  <c r="B4" i="2"/>
  <c r="H4" i="2"/>
  <c r="E4" i="2"/>
  <c r="R3" i="3"/>
  <c r="R19" i="3"/>
  <c r="B6" i="2" l="1"/>
  <c r="J6" i="1" s="1"/>
  <c r="A6" i="1"/>
  <c r="B10" i="2"/>
  <c r="M6" i="1" s="1"/>
</calcChain>
</file>

<file path=xl/sharedStrings.xml><?xml version="1.0" encoding="utf-8"?>
<sst xmlns="http://schemas.openxmlformats.org/spreadsheetml/2006/main" count="2788" uniqueCount="425">
  <si>
    <t>TOTAL REVENUE</t>
  </si>
  <si>
    <t>ORDERS</t>
  </si>
  <si>
    <t>UNITS SOLD</t>
  </si>
  <si>
    <t>AVG ORDER VALUE</t>
  </si>
  <si>
    <t>TOP CHANNEL</t>
  </si>
  <si>
    <t>Metric</t>
  </si>
  <si>
    <t>Value</t>
  </si>
  <si>
    <t>Category</t>
  </si>
  <si>
    <t>Revenue (INR)</t>
  </si>
  <si>
    <t>Channel</t>
  </si>
  <si>
    <t>Segment</t>
  </si>
  <si>
    <t>Month</t>
  </si>
  <si>
    <t>State</t>
  </si>
  <si>
    <t>Total Orders</t>
  </si>
  <si>
    <t>Electronics</t>
  </si>
  <si>
    <t>Website</t>
  </si>
  <si>
    <t>Consumer</t>
  </si>
  <si>
    <t>Jan</t>
  </si>
  <si>
    <t>Maharashtra</t>
  </si>
  <si>
    <t>Total Units</t>
  </si>
  <si>
    <t>Fashion</t>
  </si>
  <si>
    <t>Mobile App</t>
  </si>
  <si>
    <t>Corporate</t>
  </si>
  <si>
    <t>Feb</t>
  </si>
  <si>
    <t>Karnataka</t>
  </si>
  <si>
    <t>Revenue</t>
  </si>
  <si>
    <t>Home</t>
  </si>
  <si>
    <t>Marketplace</t>
  </si>
  <si>
    <t>Small Business</t>
  </si>
  <si>
    <t>Mar</t>
  </si>
  <si>
    <t>Delhi</t>
  </si>
  <si>
    <t>Profit</t>
  </si>
  <si>
    <t>Beauty</t>
  </si>
  <si>
    <t>Apr</t>
  </si>
  <si>
    <t>Tamil Nadu</t>
  </si>
  <si>
    <t>AOV</t>
  </si>
  <si>
    <t>Grocery</t>
  </si>
  <si>
    <t>May</t>
  </si>
  <si>
    <t>Telangana</t>
  </si>
  <si>
    <t>Avg Rating</t>
  </si>
  <si>
    <t>Jun</t>
  </si>
  <si>
    <t>Uttar Pradesh</t>
  </si>
  <si>
    <t>Avg Delivery Days</t>
  </si>
  <si>
    <t>Jul</t>
  </si>
  <si>
    <t>Gujarat</t>
  </si>
  <si>
    <t>Top Category</t>
  </si>
  <si>
    <t>Aug</t>
  </si>
  <si>
    <t>West Bengal</t>
  </si>
  <si>
    <t>Top Channel</t>
  </si>
  <si>
    <t>Sep</t>
  </si>
  <si>
    <t>Oct</t>
  </si>
  <si>
    <t>Nov</t>
  </si>
  <si>
    <t>Dec</t>
  </si>
  <si>
    <t>Order Date</t>
  </si>
  <si>
    <t>Order ID</t>
  </si>
  <si>
    <t>City</t>
  </si>
  <si>
    <t>Product</t>
  </si>
  <si>
    <t>Payment</t>
  </si>
  <si>
    <t>Units</t>
  </si>
  <si>
    <t>Unit Price (INR)</t>
  </si>
  <si>
    <t>Discount %</t>
  </si>
  <si>
    <t>Sales Rep</t>
  </si>
  <si>
    <t>Delivery Days</t>
  </si>
  <si>
    <t>Rating</t>
  </si>
  <si>
    <t>Gross Sales (INR)</t>
  </si>
  <si>
    <t>Profit (INR)</t>
  </si>
  <si>
    <t>EC26-0001</t>
  </si>
  <si>
    <t>Lucknow</t>
  </si>
  <si>
    <t>Healthy Snacks</t>
  </si>
  <si>
    <t>Wallet</t>
  </si>
  <si>
    <t>Vihaan</t>
  </si>
  <si>
    <t>EC26-0002</t>
  </si>
  <si>
    <t>Kerala</t>
  </si>
  <si>
    <t>Kochi</t>
  </si>
  <si>
    <t>Hair Dryer</t>
  </si>
  <si>
    <t>UPI</t>
  </si>
  <si>
    <t>Anaya</t>
  </si>
  <si>
    <t>EC26-0003</t>
  </si>
  <si>
    <t>Madhya Pradesh</t>
  </si>
  <si>
    <t>Indore</t>
  </si>
  <si>
    <t>Bedsheet Set</t>
  </si>
  <si>
    <t>Ishita</t>
  </si>
  <si>
    <t>EC26-0004</t>
  </si>
  <si>
    <t>Hyderabad</t>
  </si>
  <si>
    <t>Coffee Maker</t>
  </si>
  <si>
    <t>Rohan</t>
  </si>
  <si>
    <t>EC26-0005</t>
  </si>
  <si>
    <t>Kolkata</t>
  </si>
  <si>
    <t>Face Serum</t>
  </si>
  <si>
    <t>EC26-0006</t>
  </si>
  <si>
    <t>Makeup Set</t>
  </si>
  <si>
    <t>Aarav</t>
  </si>
  <si>
    <t>EC26-0007</t>
  </si>
  <si>
    <t>Punjab</t>
  </si>
  <si>
    <t>Ludhiana</t>
  </si>
  <si>
    <t>Dry Fruits Pack</t>
  </si>
  <si>
    <t>COD</t>
  </si>
  <si>
    <t>Meera</t>
  </si>
  <si>
    <t>EC26-0008</t>
  </si>
  <si>
    <t>EC26-0009</t>
  </si>
  <si>
    <t>Air Fryer</t>
  </si>
  <si>
    <t>EC26-0010</t>
  </si>
  <si>
    <t>EC26-0011</t>
  </si>
  <si>
    <t>Green Tea</t>
  </si>
  <si>
    <t>EC26-0012</t>
  </si>
  <si>
    <t>Bengaluru</t>
  </si>
  <si>
    <t>Backpack</t>
  </si>
  <si>
    <t>EC26-0013</t>
  </si>
  <si>
    <t>USB-C Hub</t>
  </si>
  <si>
    <t>Credit Card</t>
  </si>
  <si>
    <t>EC26-0014</t>
  </si>
  <si>
    <t>Sneakers</t>
  </si>
  <si>
    <t>EC26-0015</t>
  </si>
  <si>
    <t>Storage Rack</t>
  </si>
  <si>
    <t>EC26-0016</t>
  </si>
  <si>
    <t>Mumbai</t>
  </si>
  <si>
    <t>LED Lamp</t>
  </si>
  <si>
    <t>Simran</t>
  </si>
  <si>
    <t>EC26-0017</t>
  </si>
  <si>
    <t>EC26-0018</t>
  </si>
  <si>
    <t>Chennai</t>
  </si>
  <si>
    <t>EC26-0019</t>
  </si>
  <si>
    <t>Smartwatch</t>
  </si>
  <si>
    <t>Kabir</t>
  </si>
  <si>
    <t>EC26-0020</t>
  </si>
  <si>
    <t>Skincare Kit</t>
  </si>
  <si>
    <t>EC26-0021</t>
  </si>
  <si>
    <t>EC26-0022</t>
  </si>
  <si>
    <t>EC26-0023</t>
  </si>
  <si>
    <t>Coffee Beans</t>
  </si>
  <si>
    <t>EC26-0024</t>
  </si>
  <si>
    <t>Rajasthan</t>
  </si>
  <si>
    <t>Jaipur</t>
  </si>
  <si>
    <t>Running Shoes</t>
  </si>
  <si>
    <t>EC26-0025</t>
  </si>
  <si>
    <t>Debit Card</t>
  </si>
  <si>
    <t>EC26-0026</t>
  </si>
  <si>
    <t>EC26-0027</t>
  </si>
  <si>
    <t>EC26-0028</t>
  </si>
  <si>
    <t>Bluetooth Speaker</t>
  </si>
  <si>
    <t>EC26-0029</t>
  </si>
  <si>
    <t>EC26-0030</t>
  </si>
  <si>
    <t>EC26-0031</t>
  </si>
  <si>
    <t>EC26-0032</t>
  </si>
  <si>
    <t>New Delhi</t>
  </si>
  <si>
    <t>EC26-0033</t>
  </si>
  <si>
    <t>EC26-0034</t>
  </si>
  <si>
    <t>EC26-0035</t>
  </si>
  <si>
    <t>EC26-0036</t>
  </si>
  <si>
    <t>EC26-0037</t>
  </si>
  <si>
    <t>EC26-0038</t>
  </si>
  <si>
    <t>EC26-0039</t>
  </si>
  <si>
    <t>EC26-0040</t>
  </si>
  <si>
    <t>Hoodie</t>
  </si>
  <si>
    <t>EC26-0041</t>
  </si>
  <si>
    <t>Protein Bars</t>
  </si>
  <si>
    <t>EC26-0042</t>
  </si>
  <si>
    <t>EC26-0043</t>
  </si>
  <si>
    <t>EC26-0044</t>
  </si>
  <si>
    <t>Perfume</t>
  </si>
  <si>
    <t>EC26-0045</t>
  </si>
  <si>
    <t>EC26-0046</t>
  </si>
  <si>
    <t>EC26-0047</t>
  </si>
  <si>
    <t>EC26-0048</t>
  </si>
  <si>
    <t>EC26-0049</t>
  </si>
  <si>
    <t>Ahmedabad</t>
  </si>
  <si>
    <t>EC26-0050</t>
  </si>
  <si>
    <t>EC26-0051</t>
  </si>
  <si>
    <t>EC26-0052</t>
  </si>
  <si>
    <t>EC26-0053</t>
  </si>
  <si>
    <t>EC26-0054</t>
  </si>
  <si>
    <t>EC26-0055</t>
  </si>
  <si>
    <t>EC26-0056</t>
  </si>
  <si>
    <t>EC26-0057</t>
  </si>
  <si>
    <t>EC26-0058</t>
  </si>
  <si>
    <t>EC26-0059</t>
  </si>
  <si>
    <t>EC26-0060</t>
  </si>
  <si>
    <t>EC26-0061</t>
  </si>
  <si>
    <t>EC26-0062</t>
  </si>
  <si>
    <t>EC26-0063</t>
  </si>
  <si>
    <t>EC26-0064</t>
  </si>
  <si>
    <t>EC26-0065</t>
  </si>
  <si>
    <t>EC26-0066</t>
  </si>
  <si>
    <t>EC26-0067</t>
  </si>
  <si>
    <t>EC26-0068</t>
  </si>
  <si>
    <t>EC26-0069</t>
  </si>
  <si>
    <t>EC26-0070</t>
  </si>
  <si>
    <t>EC26-0071</t>
  </si>
  <si>
    <t>Denim Jacket</t>
  </si>
  <si>
    <t>EC26-0072</t>
  </si>
  <si>
    <t>EC26-0073</t>
  </si>
  <si>
    <t>EC26-0074</t>
  </si>
  <si>
    <t>Wireless Earbuds</t>
  </si>
  <si>
    <t>EC26-0075</t>
  </si>
  <si>
    <t>EC26-0076</t>
  </si>
  <si>
    <t>EC26-0077</t>
  </si>
  <si>
    <t>Power Bank</t>
  </si>
  <si>
    <t>EC26-0078</t>
  </si>
  <si>
    <t>EC26-0079</t>
  </si>
  <si>
    <t>EC26-0080</t>
  </si>
  <si>
    <t>EC26-0081</t>
  </si>
  <si>
    <t>EC26-0082</t>
  </si>
  <si>
    <t>EC26-0083</t>
  </si>
  <si>
    <t>EC26-0084</t>
  </si>
  <si>
    <t>EC26-0085</t>
  </si>
  <si>
    <t>EC26-0086</t>
  </si>
  <si>
    <t>EC26-0087</t>
  </si>
  <si>
    <t>EC26-0088</t>
  </si>
  <si>
    <t>EC26-0089</t>
  </si>
  <si>
    <t>EC26-0090</t>
  </si>
  <si>
    <t>EC26-0091</t>
  </si>
  <si>
    <t>EC26-0092</t>
  </si>
  <si>
    <t>EC26-0093</t>
  </si>
  <si>
    <t>EC26-0094</t>
  </si>
  <si>
    <t>EC26-0095</t>
  </si>
  <si>
    <t>EC26-0096</t>
  </si>
  <si>
    <t>EC26-0097</t>
  </si>
  <si>
    <t>EC26-0098</t>
  </si>
  <si>
    <t>EC26-0099</t>
  </si>
  <si>
    <t>EC26-0100</t>
  </si>
  <si>
    <t>EC26-0101</t>
  </si>
  <si>
    <t>EC26-0102</t>
  </si>
  <si>
    <t>EC26-0103</t>
  </si>
  <si>
    <t>EC26-0104</t>
  </si>
  <si>
    <t>EC26-0105</t>
  </si>
  <si>
    <t>EC26-0106</t>
  </si>
  <si>
    <t>EC26-0107</t>
  </si>
  <si>
    <t>EC26-0108</t>
  </si>
  <si>
    <t>EC26-0109</t>
  </si>
  <si>
    <t>EC26-0110</t>
  </si>
  <si>
    <t>EC26-0111</t>
  </si>
  <si>
    <t>EC26-0112</t>
  </si>
  <si>
    <t>EC26-0113</t>
  </si>
  <si>
    <t>EC26-0114</t>
  </si>
  <si>
    <t>EC26-0115</t>
  </si>
  <si>
    <t>EC26-0116</t>
  </si>
  <si>
    <t>EC26-0117</t>
  </si>
  <si>
    <t>EC26-0118</t>
  </si>
  <si>
    <t>EC26-0119</t>
  </si>
  <si>
    <t>EC26-0120</t>
  </si>
  <si>
    <t>EC26-0121</t>
  </si>
  <si>
    <t>EC26-0122</t>
  </si>
  <si>
    <t>EC26-0123</t>
  </si>
  <si>
    <t>EC26-0124</t>
  </si>
  <si>
    <t>EC26-0125</t>
  </si>
  <si>
    <t>EC26-0126</t>
  </si>
  <si>
    <t>EC26-0127</t>
  </si>
  <si>
    <t>EC26-0128</t>
  </si>
  <si>
    <t>EC26-0129</t>
  </si>
  <si>
    <t>EC26-0130</t>
  </si>
  <si>
    <t>EC26-0131</t>
  </si>
  <si>
    <t>EC26-0132</t>
  </si>
  <si>
    <t>EC26-0133</t>
  </si>
  <si>
    <t>EC26-0134</t>
  </si>
  <si>
    <t>EC26-0135</t>
  </si>
  <si>
    <t>EC26-0136</t>
  </si>
  <si>
    <t>EC26-0137</t>
  </si>
  <si>
    <t>EC26-0138</t>
  </si>
  <si>
    <t>EC26-0139</t>
  </si>
  <si>
    <t>EC26-0140</t>
  </si>
  <si>
    <t>EC26-0141</t>
  </si>
  <si>
    <t>EC26-0142</t>
  </si>
  <si>
    <t>EC26-0143</t>
  </si>
  <si>
    <t>EC26-0144</t>
  </si>
  <si>
    <t>EC26-0145</t>
  </si>
  <si>
    <t>EC26-0146</t>
  </si>
  <si>
    <t>EC26-0147</t>
  </si>
  <si>
    <t>EC26-0148</t>
  </si>
  <si>
    <t>EC26-0149</t>
  </si>
  <si>
    <t>EC26-0150</t>
  </si>
  <si>
    <t>EC26-0151</t>
  </si>
  <si>
    <t>EC26-0152</t>
  </si>
  <si>
    <t>EC26-0153</t>
  </si>
  <si>
    <t>EC26-0154</t>
  </si>
  <si>
    <t>EC26-0155</t>
  </si>
  <si>
    <t>EC26-0156</t>
  </si>
  <si>
    <t>EC26-0157</t>
  </si>
  <si>
    <t>EC26-0158</t>
  </si>
  <si>
    <t>EC26-0159</t>
  </si>
  <si>
    <t>EC26-0160</t>
  </si>
  <si>
    <t>EC26-0161</t>
  </si>
  <si>
    <t>EC26-0162</t>
  </si>
  <si>
    <t>EC26-0163</t>
  </si>
  <si>
    <t>EC26-0164</t>
  </si>
  <si>
    <t>EC26-0165</t>
  </si>
  <si>
    <t>EC26-0166</t>
  </si>
  <si>
    <t>EC26-0167</t>
  </si>
  <si>
    <t>EC26-0168</t>
  </si>
  <si>
    <t>EC26-0169</t>
  </si>
  <si>
    <t>EC26-0170</t>
  </si>
  <si>
    <t>EC26-0171</t>
  </si>
  <si>
    <t>EC26-0172</t>
  </si>
  <si>
    <t>EC26-0173</t>
  </si>
  <si>
    <t>EC26-0174</t>
  </si>
  <si>
    <t>EC26-0175</t>
  </si>
  <si>
    <t>EC26-0176</t>
  </si>
  <si>
    <t>EC26-0177</t>
  </si>
  <si>
    <t>EC26-0178</t>
  </si>
  <si>
    <t>EC26-0179</t>
  </si>
  <si>
    <t>EC26-0180</t>
  </si>
  <si>
    <t>EC26-0181</t>
  </si>
  <si>
    <t>EC26-0182</t>
  </si>
  <si>
    <t>EC26-0183</t>
  </si>
  <si>
    <t>EC26-0184</t>
  </si>
  <si>
    <t>EC26-0185</t>
  </si>
  <si>
    <t>EC26-0186</t>
  </si>
  <si>
    <t>EC26-0187</t>
  </si>
  <si>
    <t>EC26-0188</t>
  </si>
  <si>
    <t>EC26-0189</t>
  </si>
  <si>
    <t>EC26-0190</t>
  </si>
  <si>
    <t>EC26-0191</t>
  </si>
  <si>
    <t>EC26-0192</t>
  </si>
  <si>
    <t>EC26-0193</t>
  </si>
  <si>
    <t>EC26-0194</t>
  </si>
  <si>
    <t>EC26-0195</t>
  </si>
  <si>
    <t>EC26-0196</t>
  </si>
  <si>
    <t>EC26-0197</t>
  </si>
  <si>
    <t>EC26-0198</t>
  </si>
  <si>
    <t>EC26-0199</t>
  </si>
  <si>
    <t>EC26-0200</t>
  </si>
  <si>
    <t>EC26-0201</t>
  </si>
  <si>
    <t>EC26-0202</t>
  </si>
  <si>
    <t>EC26-0203</t>
  </si>
  <si>
    <t>EC26-0204</t>
  </si>
  <si>
    <t>EC26-0205</t>
  </si>
  <si>
    <t>EC26-0206</t>
  </si>
  <si>
    <t>EC26-0207</t>
  </si>
  <si>
    <t>EC26-0208</t>
  </si>
  <si>
    <t>EC26-0209</t>
  </si>
  <si>
    <t>EC26-0210</t>
  </si>
  <si>
    <t>EC26-0211</t>
  </si>
  <si>
    <t>EC26-0212</t>
  </si>
  <si>
    <t>EC26-0213</t>
  </si>
  <si>
    <t>EC26-0214</t>
  </si>
  <si>
    <t>EC26-0215</t>
  </si>
  <si>
    <t>EC26-0216</t>
  </si>
  <si>
    <t>EC26-0217</t>
  </si>
  <si>
    <t>EC26-0218</t>
  </si>
  <si>
    <t>EC26-0219</t>
  </si>
  <si>
    <t>EC26-0220</t>
  </si>
  <si>
    <t>EC26-0221</t>
  </si>
  <si>
    <t>EC26-0222</t>
  </si>
  <si>
    <t>EC26-0223</t>
  </si>
  <si>
    <t>EC26-0224</t>
  </si>
  <si>
    <t>EC26-0225</t>
  </si>
  <si>
    <t>EC26-0226</t>
  </si>
  <si>
    <t>EC26-0227</t>
  </si>
  <si>
    <t>EC26-0228</t>
  </si>
  <si>
    <t>EC26-0229</t>
  </si>
  <si>
    <t>EC26-0230</t>
  </si>
  <si>
    <t>EC26-0231</t>
  </si>
  <si>
    <t>EC26-0232</t>
  </si>
  <si>
    <t>EC26-0233</t>
  </si>
  <si>
    <t>EC26-0234</t>
  </si>
  <si>
    <t>EC26-0235</t>
  </si>
  <si>
    <t>EC26-0236</t>
  </si>
  <si>
    <t>EC26-0237</t>
  </si>
  <si>
    <t>EC26-0238</t>
  </si>
  <si>
    <t>EC26-0239</t>
  </si>
  <si>
    <t>EC26-0240</t>
  </si>
  <si>
    <t>EC26-0241</t>
  </si>
  <si>
    <t>EC26-0242</t>
  </si>
  <si>
    <t>EC26-0243</t>
  </si>
  <si>
    <t>EC26-0244</t>
  </si>
  <si>
    <t>EC26-0245</t>
  </si>
  <si>
    <t>EC26-0246</t>
  </si>
  <si>
    <t>EC26-0247</t>
  </si>
  <si>
    <t>EC26-0248</t>
  </si>
  <si>
    <t>EC26-0249</t>
  </si>
  <si>
    <t>EC26-0250</t>
  </si>
  <si>
    <t>EC26-0251</t>
  </si>
  <si>
    <t>EC26-0252</t>
  </si>
  <si>
    <t>EC26-0253</t>
  </si>
  <si>
    <t>EC26-0254</t>
  </si>
  <si>
    <t>EC26-0255</t>
  </si>
  <si>
    <t>EC26-0256</t>
  </si>
  <si>
    <t>EC26-0257</t>
  </si>
  <si>
    <t>EC26-0258</t>
  </si>
  <si>
    <t>EC26-0259</t>
  </si>
  <si>
    <t>EC26-0260</t>
  </si>
  <si>
    <t>EC26-0261</t>
  </si>
  <si>
    <t>EC26-0262</t>
  </si>
  <si>
    <t>EC26-0263</t>
  </si>
  <si>
    <t>EC26-0264</t>
  </si>
  <si>
    <t>EC26-0265</t>
  </si>
  <si>
    <t>EC26-0266</t>
  </si>
  <si>
    <t>EC26-0267</t>
  </si>
  <si>
    <t>EC26-0268</t>
  </si>
  <si>
    <t>EC26-0269</t>
  </si>
  <si>
    <t>EC26-0270</t>
  </si>
  <si>
    <t>EC26-0271</t>
  </si>
  <si>
    <t>EC26-0272</t>
  </si>
  <si>
    <t>EC26-0273</t>
  </si>
  <si>
    <t>EC26-0274</t>
  </si>
  <si>
    <t>EC26-0275</t>
  </si>
  <si>
    <t>EC26-0276</t>
  </si>
  <si>
    <t>EC26-0277</t>
  </si>
  <si>
    <t>EC26-0278</t>
  </si>
  <si>
    <t>EC26-0279</t>
  </si>
  <si>
    <t>EC26-0280</t>
  </si>
  <si>
    <t>EC26-0281</t>
  </si>
  <si>
    <t>EC26-0282</t>
  </si>
  <si>
    <t>EC26-0283</t>
  </si>
  <si>
    <t>EC26-0284</t>
  </si>
  <si>
    <t>EC26-0285</t>
  </si>
  <si>
    <t>EC26-0286</t>
  </si>
  <si>
    <t>EC26-0287</t>
  </si>
  <si>
    <t>EC26-0288</t>
  </si>
  <si>
    <t>EC26-0289</t>
  </si>
  <si>
    <t>EC26-0290</t>
  </si>
  <si>
    <t>EC26-0291</t>
  </si>
  <si>
    <t>EC26-0292</t>
  </si>
  <si>
    <t>EC26-0293</t>
  </si>
  <si>
    <t>EC26-0294</t>
  </si>
  <si>
    <t>EC26-0295</t>
  </si>
  <si>
    <t>EC26-0296</t>
  </si>
  <si>
    <t>EC26-0297</t>
  </si>
  <si>
    <t>EC26-0298</t>
  </si>
  <si>
    <t>EC26-0299</t>
  </si>
  <si>
    <t>EC26-0300</t>
  </si>
  <si>
    <t>Monthly Revenue Trend</t>
  </si>
  <si>
    <t>Revenue by Category</t>
  </si>
  <si>
    <t>Customer Segment Share</t>
  </si>
  <si>
    <t>Revenue by Channel</t>
  </si>
  <si>
    <t>E-COMMERCE SALES DATA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</si>
</sst>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\₹0.00&quot; L&quot;"/>
  </numFmts>
  <fonts count="12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i/>
      <sz val="10"/>
      <color rgb="FF40526A"/>
      <name val="Carlito"/>
    </font>
    <font>
      <b/>
      <sz val="9"/>
      <color rgb="FF5B677A"/>
      <name val="Carlito"/>
    </font>
    <font>
      <b/>
      <sz val="20"/>
      <color rgb="FF0B6E99"/>
      <name val="Carlito"/>
    </font>
    <font>
      <b/>
      <sz val="20"/>
      <color rgb="FF1E8E5A"/>
      <name val="Carlito"/>
    </font>
    <font>
      <b/>
      <sz val="20"/>
      <color rgb="FF8A5A00"/>
      <name val="Carlito"/>
    </font>
    <font>
      <b/>
      <sz val="20"/>
      <color rgb="FF6B3FA0"/>
      <name val="Carlito"/>
    </font>
    <font>
      <b/>
      <sz val="10"/>
      <color rgb="FF17365D"/>
      <name val="Carlito"/>
    </font>
    <font>
      <sz val="9"/>
      <color rgb="FFFFFFFF"/>
      <name val="Carlito"/>
    </font>
    <font>
      <b/>
      <sz val="16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5F7FB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164" fontId="0" fillId="0" borderId="0" xfId="0" applyNumberFormat="1"/>
    <xf numFmtId="9" fontId="0" fillId="0" borderId="0" xfId="0" applyNumberFormat="1"/>
    <xf numFmtId="3" fontId="0" fillId="0" borderId="0" xfId="0" applyNumberFormat="1"/>
    <xf numFmtId="0" fontId="0" fillId="3" borderId="0" xfId="0" applyFill="1"/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6" fontId="5" fillId="5" borderId="0" xfId="0" applyNumberFormat="1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10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</c:f>
              <c:strCache>
                <c:ptCount val="1"/>
                <c:pt idx="0">
                  <c:v>E-COMMERCE SALES DATA DASHBOARD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Dashboard!$B$1:$N$1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BA9C-4A82-A9F8-3EE7C8EA8727}"/>
            </c:ext>
          </c:extLst>
        </c:ser>
        <c:ser>
          <c:idx val="1"/>
          <c:order val="1"/>
          <c:tx>
            <c:strRef>
              <c:f>Dashboard!$A$2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Dashboard!$B$2:$N$2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BA9C-4A82-A9F8-3EE7C8EA8727}"/>
            </c:ext>
          </c:extLst>
        </c:ser>
        <c:ser>
          <c:idx val="2"/>
          <c:order val="2"/>
          <c:tx>
            <c:strRef>
              <c:f>Dashboard!$A$3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Dashboard!$B$3:$N$3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BA9C-4A82-A9F8-3EE7C8EA8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839215"/>
        <c:axId val="1016912335"/>
      </c:barChart>
      <c:catAx>
        <c:axId val="101883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12335"/>
        <c:crosses val="autoZero"/>
        <c:auto val="1"/>
        <c:lblAlgn val="ctr"/>
        <c:lblOffset val="100"/>
        <c:noMultiLvlLbl val="0"/>
      </c:catAx>
      <c:valAx>
        <c:axId val="10169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3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Revenue (INR)</c:v>
          </c:tx>
          <c:marker>
            <c:symbol val="none"/>
          </c:marker>
          <c:cat>
            <c:strRef>
              <c:f>Analysis!$M$2:$M$13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Analysis!$N$2:$N$13</c:f>
              <c:numCache>
                <c:formatCode>#,##0</c:formatCode>
                <c:ptCount val="12"/>
                <c:pt idx="0">
                  <c:v>85988.9</c:v>
                </c:pt>
                <c:pt idx="1">
                  <c:v>59216.07</c:v>
                </c:pt>
                <c:pt idx="2">
                  <c:v>115571.91999999998</c:v>
                </c:pt>
                <c:pt idx="3">
                  <c:v>100951.12999999999</c:v>
                </c:pt>
                <c:pt idx="4">
                  <c:v>62629.279999999992</c:v>
                </c:pt>
                <c:pt idx="5">
                  <c:v>58905.960000000006</c:v>
                </c:pt>
                <c:pt idx="6">
                  <c:v>86224.63</c:v>
                </c:pt>
                <c:pt idx="7">
                  <c:v>114982.99</c:v>
                </c:pt>
                <c:pt idx="8">
                  <c:v>113562.92</c:v>
                </c:pt>
                <c:pt idx="9">
                  <c:v>92514.730000000025</c:v>
                </c:pt>
                <c:pt idx="10">
                  <c:v>104760.04</c:v>
                </c:pt>
                <c:pt idx="11">
                  <c:v>104008.12999999999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8D-4B6E-8E22-ED9C9CFC6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(INR)</c:v>
          </c:tx>
          <c:invertIfNegative val="1"/>
          <c:cat>
            <c:strRef>
              <c:f>Analysis!$D$2:$D$6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  <c:pt idx="3">
                  <c:v>Beauty</c:v>
                </c:pt>
                <c:pt idx="4">
                  <c:v>Grocery</c:v>
                </c:pt>
              </c:strCache>
            </c:strRef>
          </c:cat>
          <c:val>
            <c:numRef>
              <c:f>Analysis!$E$2:$E$6</c:f>
              <c:numCache>
                <c:formatCode>#,##0</c:formatCode>
                <c:ptCount val="5"/>
                <c:pt idx="0">
                  <c:v>291215.23999999993</c:v>
                </c:pt>
                <c:pt idx="1">
                  <c:v>263065.12999999983</c:v>
                </c:pt>
                <c:pt idx="2">
                  <c:v>303792.29999999993</c:v>
                </c:pt>
                <c:pt idx="3">
                  <c:v>151478.96999999997</c:v>
                </c:pt>
                <c:pt idx="4">
                  <c:v>89765.06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3-4FBC-9E03-536AF08FA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(INR)</c:v>
          </c:tx>
          <c:invertIfNegative val="1"/>
          <c:cat>
            <c:strRef>
              <c:f>Analysis!$G$2:$G$4</c:f>
              <c:strCache>
                <c:ptCount val="3"/>
                <c:pt idx="0">
                  <c:v>Website</c:v>
                </c:pt>
                <c:pt idx="1">
                  <c:v>Mobile App</c:v>
                </c:pt>
                <c:pt idx="2">
                  <c:v>Marketplace</c:v>
                </c:pt>
              </c:strCache>
            </c:strRef>
          </c:cat>
          <c:val>
            <c:numRef>
              <c:f>Analysis!$H$2:$H$4</c:f>
              <c:numCache>
                <c:formatCode>#,##0</c:formatCode>
                <c:ptCount val="3"/>
                <c:pt idx="0">
                  <c:v>374897.9</c:v>
                </c:pt>
                <c:pt idx="1">
                  <c:v>416814.64000000019</c:v>
                </c:pt>
                <c:pt idx="2">
                  <c:v>307604.15999999992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4-4DB1-A265-D07E5D4F7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Revenue (INR)</c:v>
          </c:tx>
          <c:cat>
            <c:strRef>
              <c:f>Analysis!$J$2:$J$4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Analysis!$K$2:$K$4</c:f>
              <c:numCache>
                <c:formatCode>#,##0</c:formatCode>
                <c:ptCount val="3"/>
                <c:pt idx="0">
                  <c:v>344939.2699999999</c:v>
                </c:pt>
                <c:pt idx="1">
                  <c:v>382197.36000000016</c:v>
                </c:pt>
                <c:pt idx="2">
                  <c:v>372180.06999999989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7-4A82-8B78-AE7FF675A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C4265D-ED38-4128-927F-BB18CB5B0257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0F48A-6AAC-B02E-8A1C-C5C462671D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ommerceDashboardData" displayName="ECommerceDashboardData" ref="A1:R301" totalsRowShown="0">
  <tableColumns count="18">
    <tableColumn id="1" xr3:uid="{00000000-0010-0000-0000-000001000000}" name="Order Date"/>
    <tableColumn id="2" xr3:uid="{00000000-0010-0000-0000-000002000000}" name="Order ID"/>
    <tableColumn id="3" xr3:uid="{00000000-0010-0000-0000-000003000000}" name="State"/>
    <tableColumn id="4" xr3:uid="{00000000-0010-0000-0000-000004000000}" name="City"/>
    <tableColumn id="5" xr3:uid="{00000000-0010-0000-0000-000005000000}" name="Category"/>
    <tableColumn id="6" xr3:uid="{00000000-0010-0000-0000-000006000000}" name="Product"/>
    <tableColumn id="7" xr3:uid="{00000000-0010-0000-0000-000007000000}" name="Segment"/>
    <tableColumn id="8" xr3:uid="{00000000-0010-0000-0000-000008000000}" name="Channel"/>
    <tableColumn id="9" xr3:uid="{00000000-0010-0000-0000-000009000000}" name="Payment"/>
    <tableColumn id="10" xr3:uid="{00000000-0010-0000-0000-00000A000000}" name="Units"/>
    <tableColumn id="11" xr3:uid="{00000000-0010-0000-0000-00000B000000}" name="Unit Price (INR)"/>
    <tableColumn id="12" xr3:uid="{00000000-0010-0000-0000-00000C000000}" name="Discount %"/>
    <tableColumn id="13" xr3:uid="{00000000-0010-0000-0000-00000D000000}" name="Sales Rep"/>
    <tableColumn id="14" xr3:uid="{00000000-0010-0000-0000-00000E000000}" name="Delivery Days"/>
    <tableColumn id="15" xr3:uid="{00000000-0010-0000-0000-00000F000000}" name="Rating"/>
    <tableColumn id="16" xr3:uid="{00000000-0010-0000-0000-000010000000}" name="Gross Sales (INR)"/>
    <tableColumn id="17" xr3:uid="{00000000-0010-0000-0000-000011000000}" name="Revenue (INR)"/>
    <tableColumn id="18" xr3:uid="{00000000-0010-0000-0000-000012000000}" name="Profit (IN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opLeftCell="A19" zoomScale="85" zoomScaleNormal="85" workbookViewId="0">
      <selection activeCell="A36" sqref="A36:N36"/>
    </sheetView>
  </sheetViews>
  <sheetFormatPr defaultRowHeight="13.8"/>
  <cols>
    <col min="1" max="14" width="13" customWidth="1"/>
  </cols>
  <sheetData>
    <row r="1" spans="1:14" ht="21.6" customHeight="1">
      <c r="A1" s="7" t="s">
        <v>424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1.6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4.4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6.0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8.45" customHeight="1">
      <c r="A5" s="9" t="s">
        <v>0</v>
      </c>
      <c r="B5" s="9" t="s">
        <v>0</v>
      </c>
      <c r="C5" s="9" t="s">
        <v>0</v>
      </c>
      <c r="D5" s="9" t="s">
        <v>1</v>
      </c>
      <c r="E5" s="9" t="s">
        <v>1</v>
      </c>
      <c r="F5" s="9" t="s">
        <v>1</v>
      </c>
      <c r="G5" s="9" t="s">
        <v>2</v>
      </c>
      <c r="H5" s="9" t="s">
        <v>2</v>
      </c>
      <c r="I5" s="9" t="s">
        <v>2</v>
      </c>
      <c r="J5" s="9" t="s">
        <v>3</v>
      </c>
      <c r="K5" s="9" t="s">
        <v>3</v>
      </c>
      <c r="L5" s="9" t="s">
        <v>3</v>
      </c>
      <c r="M5" s="16" t="s">
        <v>4</v>
      </c>
      <c r="N5" s="16"/>
    </row>
    <row r="6" spans="1:14" ht="18.45" customHeight="1">
      <c r="A6" s="10">
        <f>ROUND(Analysis!B4/100000,2)</f>
        <v>10.99</v>
      </c>
      <c r="B6" s="10"/>
      <c r="C6" s="10"/>
      <c r="D6" s="11">
        <f>Analysis!B2</f>
        <v>300</v>
      </c>
      <c r="E6" s="11"/>
      <c r="F6" s="11"/>
      <c r="G6" s="12">
        <f>Analysis!B3</f>
        <v>600</v>
      </c>
      <c r="H6" s="12"/>
      <c r="I6" s="12"/>
      <c r="J6" s="13">
        <f>ROUND(Analysis!B6,0)</f>
        <v>3664</v>
      </c>
      <c r="K6" s="13"/>
      <c r="L6" s="13"/>
      <c r="M6" s="17" t="str">
        <f>Analysis!B10</f>
        <v>Mobile App</v>
      </c>
      <c r="N6" s="17"/>
    </row>
    <row r="7" spans="1:14" ht="18.45" customHeight="1">
      <c r="A7" s="10"/>
      <c r="B7" s="10"/>
      <c r="C7" s="10"/>
      <c r="D7" s="11"/>
      <c r="E7" s="11"/>
      <c r="F7" s="11"/>
      <c r="G7" s="12"/>
      <c r="H7" s="12"/>
      <c r="I7" s="12"/>
      <c r="J7" s="13"/>
      <c r="K7" s="13"/>
      <c r="L7" s="13"/>
      <c r="M7" s="17"/>
      <c r="N7" s="17"/>
    </row>
    <row r="8" spans="1:14" ht="16.0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6.05" customHeight="1">
      <c r="A9" s="14" t="s">
        <v>420</v>
      </c>
      <c r="B9" s="14"/>
      <c r="C9" s="14"/>
      <c r="D9" s="14"/>
      <c r="E9" s="14"/>
      <c r="F9" s="14"/>
      <c r="G9" s="14" t="s">
        <v>421</v>
      </c>
      <c r="H9" s="14"/>
      <c r="I9" s="14"/>
      <c r="J9" s="14"/>
      <c r="K9" s="14"/>
      <c r="L9" s="14"/>
      <c r="M9" s="14"/>
      <c r="N9" s="14"/>
    </row>
    <row r="10" spans="1:14" ht="16.0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16.0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16.0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6.0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6.0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6.0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6.0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6.0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6.0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6.0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6.0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6.0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6.0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6.05" customHeight="1">
      <c r="A23" s="14" t="s">
        <v>423</v>
      </c>
      <c r="B23" s="14"/>
      <c r="C23" s="14"/>
      <c r="D23" s="14"/>
      <c r="E23" s="14"/>
      <c r="F23" s="14"/>
      <c r="G23" s="14" t="s">
        <v>422</v>
      </c>
      <c r="H23" s="14"/>
      <c r="I23" s="14"/>
      <c r="J23" s="14"/>
      <c r="K23" s="14"/>
      <c r="L23" s="14"/>
      <c r="M23" s="14"/>
      <c r="N23" s="14"/>
    </row>
    <row r="24" spans="1:14" ht="16.0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6.0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6.0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6.0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6.0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6.0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6.0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6.0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6.0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6.0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6.0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6.0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6.0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</sheetData>
  <mergeCells count="17">
    <mergeCell ref="A9:F9"/>
    <mergeCell ref="G9:N9"/>
    <mergeCell ref="A23:F23"/>
    <mergeCell ref="G23:N23"/>
    <mergeCell ref="A36:N36"/>
    <mergeCell ref="A1:N2"/>
    <mergeCell ref="A3:N3"/>
    <mergeCell ref="A5:C5"/>
    <mergeCell ref="A6:C7"/>
    <mergeCell ref="D5:F5"/>
    <mergeCell ref="D6:F7"/>
    <mergeCell ref="G5:I5"/>
    <mergeCell ref="G6:I7"/>
    <mergeCell ref="J5:L5"/>
    <mergeCell ref="J6:L7"/>
    <mergeCell ref="M5:N5"/>
    <mergeCell ref="M6:N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workbookViewId="0"/>
  </sheetViews>
  <sheetFormatPr defaultRowHeight="13.8"/>
  <cols>
    <col min="1" max="17" width="15" customWidth="1"/>
  </cols>
  <sheetData>
    <row r="1" spans="1:17">
      <c r="A1" s="1" t="s">
        <v>5</v>
      </c>
      <c r="B1" s="1" t="s">
        <v>6</v>
      </c>
      <c r="C1" s="1"/>
      <c r="D1" s="1" t="s">
        <v>7</v>
      </c>
      <c r="E1" s="1" t="s">
        <v>8</v>
      </c>
      <c r="F1" s="1"/>
      <c r="G1" s="1" t="s">
        <v>9</v>
      </c>
      <c r="H1" s="1" t="s">
        <v>8</v>
      </c>
      <c r="I1" s="1"/>
      <c r="J1" s="1" t="s">
        <v>10</v>
      </c>
      <c r="K1" s="1" t="s">
        <v>8</v>
      </c>
      <c r="L1" s="1"/>
      <c r="M1" s="1" t="s">
        <v>11</v>
      </c>
      <c r="N1" s="1" t="s">
        <v>8</v>
      </c>
      <c r="O1" s="1"/>
      <c r="P1" s="1" t="s">
        <v>12</v>
      </c>
      <c r="Q1" s="1" t="s">
        <v>8</v>
      </c>
    </row>
    <row r="2" spans="1:17">
      <c r="A2" t="s">
        <v>13</v>
      </c>
      <c r="B2">
        <f>COUNTA(Data!$B$2:$B$301)</f>
        <v>300</v>
      </c>
      <c r="D2" t="s">
        <v>14</v>
      </c>
      <c r="E2" s="5">
        <f>SUMIF(Data!$E$2:$E$301,D2,Data!$Q$2:$Q$301)</f>
        <v>291215.23999999993</v>
      </c>
      <c r="G2" t="s">
        <v>15</v>
      </c>
      <c r="H2" s="5">
        <f>SUMIF(Data!$H$2:$H$301,G2,Data!$Q$2:$Q$301)</f>
        <v>374897.9</v>
      </c>
      <c r="J2" t="s">
        <v>16</v>
      </c>
      <c r="K2" s="5">
        <f>SUMIF(Data!$G$2:$G$301,J2,Data!$Q$2:$Q$301)</f>
        <v>344939.2699999999</v>
      </c>
      <c r="M2" t="s">
        <v>17</v>
      </c>
      <c r="N2" s="5">
        <f>SUMIFS(Data!$Q$2:$Q$301,Data!$A$2:$A$301,"&gt;="&amp;DATE(2026,1,1),Data!$A$2:$A$301,"&lt;"&amp;DATE(2026,2,1))</f>
        <v>85988.9</v>
      </c>
      <c r="P2" t="s">
        <v>18</v>
      </c>
      <c r="Q2" s="5">
        <f>SUMIF(Data!$C$2:$C$301,P2,Data!$Q$2:$Q$301)</f>
        <v>153234.37</v>
      </c>
    </row>
    <row r="3" spans="1:17">
      <c r="A3" t="s">
        <v>19</v>
      </c>
      <c r="B3">
        <f>SUM(Data!$J$2:$J$301)</f>
        <v>600</v>
      </c>
      <c r="D3" t="s">
        <v>20</v>
      </c>
      <c r="E3" s="5">
        <f>SUMIF(Data!$E$2:$E$301,D3,Data!$Q$2:$Q$301)</f>
        <v>263065.12999999983</v>
      </c>
      <c r="G3" t="s">
        <v>21</v>
      </c>
      <c r="H3" s="5">
        <f>SUMIF(Data!$H$2:$H$301,G3,Data!$Q$2:$Q$301)</f>
        <v>416814.64000000019</v>
      </c>
      <c r="J3" t="s">
        <v>22</v>
      </c>
      <c r="K3" s="5">
        <f>SUMIF(Data!$G$2:$G$301,J3,Data!$Q$2:$Q$301)</f>
        <v>382197.36000000016</v>
      </c>
      <c r="M3" t="s">
        <v>23</v>
      </c>
      <c r="N3" s="5">
        <f>SUMIFS(Data!$Q$2:$Q$301,Data!$A$2:$A$301,"&gt;="&amp;DATE(2026,2,1),Data!$A$2:$A$301,"&lt;"&amp;DATE(2026,3,1))</f>
        <v>59216.07</v>
      </c>
      <c r="P3" t="s">
        <v>24</v>
      </c>
      <c r="Q3" s="5">
        <f>SUMIF(Data!$C$2:$C$301,P3,Data!$Q$2:$Q$301)</f>
        <v>90845.940000000017</v>
      </c>
    </row>
    <row r="4" spans="1:17">
      <c r="A4" t="s">
        <v>25</v>
      </c>
      <c r="B4" s="5">
        <f>SUM(Data!$Q$2:$Q$301)</f>
        <v>1099316.7000000007</v>
      </c>
      <c r="D4" t="s">
        <v>26</v>
      </c>
      <c r="E4" s="5">
        <f>SUMIF(Data!$E$2:$E$301,D4,Data!$Q$2:$Q$301)</f>
        <v>303792.29999999993</v>
      </c>
      <c r="G4" t="s">
        <v>27</v>
      </c>
      <c r="H4" s="5">
        <f>SUMIF(Data!$H$2:$H$301,G4,Data!$Q$2:$Q$301)</f>
        <v>307604.15999999992</v>
      </c>
      <c r="J4" t="s">
        <v>28</v>
      </c>
      <c r="K4" s="5">
        <f>SUMIF(Data!$G$2:$G$301,J4,Data!$Q$2:$Q$301)</f>
        <v>372180.06999999989</v>
      </c>
      <c r="M4" t="s">
        <v>29</v>
      </c>
      <c r="N4" s="5">
        <f>SUMIFS(Data!$Q$2:$Q$301,Data!$A$2:$A$301,"&gt;="&amp;DATE(2026,3,1),Data!$A$2:$A$301,"&lt;"&amp;DATE(2026,4,1))</f>
        <v>115571.91999999998</v>
      </c>
      <c r="P4" t="s">
        <v>30</v>
      </c>
      <c r="Q4" s="5">
        <f>SUMIF(Data!$C$2:$C$301,P4,Data!$Q$2:$Q$301)</f>
        <v>60611.410000000011</v>
      </c>
    </row>
    <row r="5" spans="1:17">
      <c r="A5" t="s">
        <v>31</v>
      </c>
      <c r="B5" s="5">
        <f>SUM(Data!$R$2:$R$301)</f>
        <v>279962.48515000002</v>
      </c>
      <c r="D5" t="s">
        <v>32</v>
      </c>
      <c r="E5" s="5">
        <f>SUMIF(Data!$E$2:$E$301,D5,Data!$Q$2:$Q$301)</f>
        <v>151478.96999999997</v>
      </c>
      <c r="M5" t="s">
        <v>33</v>
      </c>
      <c r="N5" s="5">
        <f>SUMIFS(Data!$Q$2:$Q$301,Data!$A$2:$A$301,"&gt;="&amp;DATE(2026,4,1),Data!$A$2:$A$301,"&lt;"&amp;DATE(2026,5,1))</f>
        <v>100951.12999999999</v>
      </c>
      <c r="P5" t="s">
        <v>34</v>
      </c>
      <c r="Q5" s="5">
        <f>SUMIF(Data!$C$2:$C$301,P5,Data!$Q$2:$Q$301)</f>
        <v>72469.410000000018</v>
      </c>
    </row>
    <row r="6" spans="1:17">
      <c r="A6" t="s">
        <v>35</v>
      </c>
      <c r="B6" s="5">
        <f>B4/B2</f>
        <v>3664.3890000000024</v>
      </c>
      <c r="D6" t="s">
        <v>36</v>
      </c>
      <c r="E6" s="5">
        <f>SUMIF(Data!$E$2:$E$301,D6,Data!$Q$2:$Q$301)</f>
        <v>89765.06</v>
      </c>
      <c r="M6" t="s">
        <v>37</v>
      </c>
      <c r="N6" s="5">
        <f>SUMIFS(Data!$Q$2:$Q$301,Data!$A$2:$A$301,"&gt;="&amp;DATE(2026,5,1),Data!$A$2:$A$301,"&lt;"&amp;DATE(2026,6,1))</f>
        <v>62629.279999999992</v>
      </c>
      <c r="P6" t="s">
        <v>38</v>
      </c>
      <c r="Q6" s="5">
        <f>SUMIF(Data!$C$2:$C$301,P6,Data!$Q$2:$Q$301)</f>
        <v>98845.07</v>
      </c>
    </row>
    <row r="7" spans="1:17">
      <c r="A7" t="s">
        <v>39</v>
      </c>
      <c r="B7">
        <f>AVERAGE(Data!$O$2:$O$301)</f>
        <v>4.28</v>
      </c>
      <c r="M7" t="s">
        <v>40</v>
      </c>
      <c r="N7" s="5">
        <f>SUMIFS(Data!$Q$2:$Q$301,Data!$A$2:$A$301,"&gt;="&amp;DATE(2026,6,1),Data!$A$2:$A$301,"&lt;"&amp;DATE(2026,7,1))</f>
        <v>58905.960000000006</v>
      </c>
      <c r="P7" t="s">
        <v>41</v>
      </c>
      <c r="Q7" s="5">
        <f>SUMIF(Data!$C$2:$C$301,P7,Data!$Q$2:$Q$301)</f>
        <v>81998.219999999987</v>
      </c>
    </row>
    <row r="8" spans="1:17">
      <c r="A8" t="s">
        <v>42</v>
      </c>
      <c r="B8">
        <f>AVERAGE(Data!$N$2:$N$301)</f>
        <v>3.4733333333333332</v>
      </c>
      <c r="M8" t="s">
        <v>43</v>
      </c>
      <c r="N8" s="5">
        <f>SUMIFS(Data!$Q$2:$Q$301,Data!$A$2:$A$301,"&gt;="&amp;DATE(2026,7,1),Data!$A$2:$A$301,"&lt;"&amp;DATE(2026,8,1))</f>
        <v>86224.63</v>
      </c>
      <c r="P8" t="s">
        <v>44</v>
      </c>
      <c r="Q8" s="5">
        <f>SUMIF(Data!$C$2:$C$301,P8,Data!$Q$2:$Q$301)</f>
        <v>65452.459999999985</v>
      </c>
    </row>
    <row r="9" spans="1:17">
      <c r="A9" t="s">
        <v>45</v>
      </c>
      <c r="B9" t="str">
        <f>INDEX(D2:D6,MATCH(MAX(E2:E6),E2:E6,0))</f>
        <v>Home</v>
      </c>
      <c r="M9" t="s">
        <v>46</v>
      </c>
      <c r="N9" s="5">
        <f>SUMIFS(Data!$Q$2:$Q$301,Data!$A$2:$A$301,"&gt;="&amp;DATE(2026,8,1),Data!$A$2:$A$301,"&lt;"&amp;DATE(2026,9,1))</f>
        <v>114982.99</v>
      </c>
      <c r="P9" t="s">
        <v>47</v>
      </c>
      <c r="Q9" s="5">
        <f>SUMIF(Data!$C$2:$C$301,P9,Data!$Q$2:$Q$301)</f>
        <v>120437.38999999997</v>
      </c>
    </row>
    <row r="10" spans="1:17">
      <c r="A10" t="s">
        <v>48</v>
      </c>
      <c r="B10" t="str">
        <f>INDEX(G2:G4,MATCH(MAX(H2:H4),H2:H4,0))</f>
        <v>Mobile App</v>
      </c>
      <c r="M10" t="s">
        <v>49</v>
      </c>
      <c r="N10" s="5">
        <f>SUMIFS(Data!$Q$2:$Q$301,Data!$A$2:$A$301,"&gt;="&amp;DATE(2026,9,1),Data!$A$2:$A$301,"&lt;"&amp;DATE(2026,10,1))</f>
        <v>113562.92</v>
      </c>
    </row>
    <row r="11" spans="1:17">
      <c r="M11" t="s">
        <v>50</v>
      </c>
      <c r="N11" s="5">
        <f>SUMIFS(Data!$Q$2:$Q$301,Data!$A$2:$A$301,"&gt;="&amp;DATE(2026,10,1),Data!$A$2:$A$301,"&lt;"&amp;DATE(2026,11,1))</f>
        <v>92514.730000000025</v>
      </c>
    </row>
    <row r="12" spans="1:17">
      <c r="M12" t="s">
        <v>51</v>
      </c>
      <c r="N12" s="5">
        <f>SUMIFS(Data!$Q$2:$Q$301,Data!$A$2:$A$301,"&gt;="&amp;DATE(2026,11,1),Data!$A$2:$A$301,"&lt;"&amp;DATE(2026,12,1))</f>
        <v>104760.04</v>
      </c>
    </row>
    <row r="13" spans="1:17">
      <c r="M13" t="s">
        <v>52</v>
      </c>
      <c r="N13" s="5">
        <f>SUMIFS(Data!$Q$2:$Q$301,Data!$A$2:$A$301,"&gt;="&amp;DATE(2026,12,1),Data!$A$2:$A$301,"&lt;"&amp;DATE(2027,1,1))</f>
        <v>104008.12999999999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1"/>
  <sheetViews>
    <sheetView tabSelected="1" topLeftCell="A160" workbookViewId="0"/>
  </sheetViews>
  <sheetFormatPr defaultRowHeight="13.8"/>
  <cols>
    <col min="1" max="4" width="18" customWidth="1"/>
    <col min="5" max="5" width="14" customWidth="1"/>
    <col min="6" max="7" width="18" customWidth="1"/>
    <col min="8" max="12" width="14" customWidth="1"/>
    <col min="13" max="13" width="18" customWidth="1"/>
    <col min="14" max="18" width="14" customWidth="1"/>
  </cols>
  <sheetData>
    <row r="1" spans="1:18" ht="27.6">
      <c r="A1" s="2" t="s">
        <v>53</v>
      </c>
      <c r="B1" s="2" t="s">
        <v>54</v>
      </c>
      <c r="C1" s="2" t="s">
        <v>12</v>
      </c>
      <c r="D1" s="2" t="s">
        <v>55</v>
      </c>
      <c r="E1" s="2" t="s">
        <v>7</v>
      </c>
      <c r="F1" s="2" t="s">
        <v>56</v>
      </c>
      <c r="G1" s="2" t="s">
        <v>10</v>
      </c>
      <c r="H1" s="2" t="s">
        <v>9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8</v>
      </c>
      <c r="R1" s="2" t="s">
        <v>65</v>
      </c>
    </row>
    <row r="2" spans="1:18">
      <c r="A2" s="3">
        <v>46083</v>
      </c>
      <c r="B2" t="s">
        <v>66</v>
      </c>
      <c r="C2" t="s">
        <v>41</v>
      </c>
      <c r="D2" t="s">
        <v>67</v>
      </c>
      <c r="E2" t="s">
        <v>36</v>
      </c>
      <c r="F2" t="s">
        <v>68</v>
      </c>
      <c r="G2" t="s">
        <v>16</v>
      </c>
      <c r="H2" t="s">
        <v>27</v>
      </c>
      <c r="I2" t="s">
        <v>69</v>
      </c>
      <c r="J2">
        <v>2</v>
      </c>
      <c r="K2" s="5">
        <v>599</v>
      </c>
      <c r="L2" s="4">
        <v>0</v>
      </c>
      <c r="M2" t="s">
        <v>70</v>
      </c>
      <c r="N2">
        <v>5</v>
      </c>
      <c r="O2">
        <v>4.5</v>
      </c>
      <c r="P2" s="5">
        <f t="shared" ref="P2:P65" si="0">J2*K2</f>
        <v>1198</v>
      </c>
      <c r="Q2" s="5">
        <f t="shared" ref="Q2:Q65" si="1">P2*(1-L2)</f>
        <v>1198</v>
      </c>
      <c r="R2" s="5">
        <f t="shared" ref="R2:R65" si="2">Q2*(0.24+MOD(ROW(),7)*0.005)</f>
        <v>299.5</v>
      </c>
    </row>
    <row r="3" spans="1:18">
      <c r="A3" s="3">
        <v>46274</v>
      </c>
      <c r="B3" t="s">
        <v>71</v>
      </c>
      <c r="C3" t="s">
        <v>72</v>
      </c>
      <c r="D3" t="s">
        <v>73</v>
      </c>
      <c r="E3" t="s">
        <v>32</v>
      </c>
      <c r="F3" t="s">
        <v>74</v>
      </c>
      <c r="G3" t="s">
        <v>16</v>
      </c>
      <c r="H3" t="s">
        <v>21</v>
      </c>
      <c r="I3" t="s">
        <v>75</v>
      </c>
      <c r="J3">
        <v>1</v>
      </c>
      <c r="K3" s="5">
        <v>1899</v>
      </c>
      <c r="L3" s="4">
        <v>0</v>
      </c>
      <c r="M3" t="s">
        <v>76</v>
      </c>
      <c r="N3">
        <v>1</v>
      </c>
      <c r="O3">
        <v>5</v>
      </c>
      <c r="P3" s="5">
        <f t="shared" si="0"/>
        <v>1899</v>
      </c>
      <c r="Q3" s="5">
        <f t="shared" si="1"/>
        <v>1899</v>
      </c>
      <c r="R3" s="5">
        <f t="shared" si="2"/>
        <v>484.245</v>
      </c>
    </row>
    <row r="4" spans="1:18">
      <c r="A4" s="3">
        <v>46274</v>
      </c>
      <c r="B4" t="s">
        <v>77</v>
      </c>
      <c r="C4" t="s">
        <v>78</v>
      </c>
      <c r="D4" t="s">
        <v>79</v>
      </c>
      <c r="E4" t="s">
        <v>26</v>
      </c>
      <c r="F4" t="s">
        <v>80</v>
      </c>
      <c r="G4" t="s">
        <v>22</v>
      </c>
      <c r="H4" t="s">
        <v>21</v>
      </c>
      <c r="I4" t="s">
        <v>69</v>
      </c>
      <c r="J4">
        <v>1</v>
      </c>
      <c r="K4" s="5">
        <v>1499</v>
      </c>
      <c r="L4" s="4">
        <v>0.05</v>
      </c>
      <c r="M4" t="s">
        <v>81</v>
      </c>
      <c r="N4">
        <v>4</v>
      </c>
      <c r="O4">
        <v>3.5</v>
      </c>
      <c r="P4" s="5">
        <f t="shared" si="0"/>
        <v>1499</v>
      </c>
      <c r="Q4" s="5">
        <f t="shared" si="1"/>
        <v>1424.05</v>
      </c>
      <c r="R4" s="5">
        <f t="shared" si="2"/>
        <v>370.25299999999999</v>
      </c>
    </row>
    <row r="5" spans="1:18">
      <c r="A5" s="3">
        <v>46298</v>
      </c>
      <c r="B5" t="s">
        <v>82</v>
      </c>
      <c r="C5" t="s">
        <v>38</v>
      </c>
      <c r="D5" t="s">
        <v>83</v>
      </c>
      <c r="E5" t="s">
        <v>26</v>
      </c>
      <c r="F5" t="s">
        <v>84</v>
      </c>
      <c r="G5" t="s">
        <v>28</v>
      </c>
      <c r="H5" t="s">
        <v>27</v>
      </c>
      <c r="I5" t="s">
        <v>69</v>
      </c>
      <c r="J5">
        <v>1</v>
      </c>
      <c r="K5" s="5">
        <v>4499</v>
      </c>
      <c r="L5" s="4">
        <v>0.12</v>
      </c>
      <c r="M5" t="s">
        <v>85</v>
      </c>
      <c r="N5">
        <v>1</v>
      </c>
      <c r="O5">
        <v>4.5</v>
      </c>
      <c r="P5" s="5">
        <f t="shared" si="0"/>
        <v>4499</v>
      </c>
      <c r="Q5" s="5">
        <f t="shared" si="1"/>
        <v>3959.12</v>
      </c>
      <c r="R5" s="5">
        <f t="shared" si="2"/>
        <v>1049.1668</v>
      </c>
    </row>
    <row r="6" spans="1:18">
      <c r="A6" s="3">
        <v>46209</v>
      </c>
      <c r="B6" t="s">
        <v>86</v>
      </c>
      <c r="C6" t="s">
        <v>47</v>
      </c>
      <c r="D6" t="s">
        <v>87</v>
      </c>
      <c r="E6" t="s">
        <v>32</v>
      </c>
      <c r="F6" t="s">
        <v>88</v>
      </c>
      <c r="G6" t="s">
        <v>28</v>
      </c>
      <c r="H6" t="s">
        <v>21</v>
      </c>
      <c r="I6" t="s">
        <v>75</v>
      </c>
      <c r="J6">
        <v>1</v>
      </c>
      <c r="K6" s="5">
        <v>799</v>
      </c>
      <c r="L6" s="4">
        <v>0.1</v>
      </c>
      <c r="M6" t="s">
        <v>70</v>
      </c>
      <c r="N6">
        <v>3</v>
      </c>
      <c r="O6">
        <v>5</v>
      </c>
      <c r="P6" s="5">
        <f t="shared" si="0"/>
        <v>799</v>
      </c>
      <c r="Q6" s="5">
        <f t="shared" si="1"/>
        <v>719.1</v>
      </c>
      <c r="R6" s="5">
        <f t="shared" si="2"/>
        <v>194.15700000000001</v>
      </c>
    </row>
    <row r="7" spans="1:18">
      <c r="A7" s="3">
        <v>46330</v>
      </c>
      <c r="B7" t="s">
        <v>89</v>
      </c>
      <c r="C7" t="s">
        <v>47</v>
      </c>
      <c r="D7" t="s">
        <v>87</v>
      </c>
      <c r="E7" t="s">
        <v>32</v>
      </c>
      <c r="F7" t="s">
        <v>90</v>
      </c>
      <c r="G7" t="s">
        <v>28</v>
      </c>
      <c r="H7" t="s">
        <v>21</v>
      </c>
      <c r="I7" t="s">
        <v>69</v>
      </c>
      <c r="J7">
        <v>1</v>
      </c>
      <c r="K7" s="5">
        <v>1599</v>
      </c>
      <c r="L7" s="4">
        <v>7.0000000000000007E-2</v>
      </c>
      <c r="M7" t="s">
        <v>91</v>
      </c>
      <c r="N7">
        <v>4</v>
      </c>
      <c r="O7">
        <v>5</v>
      </c>
      <c r="P7" s="5">
        <f t="shared" si="0"/>
        <v>1599</v>
      </c>
      <c r="Q7" s="5">
        <f t="shared" si="1"/>
        <v>1487.07</v>
      </c>
      <c r="R7" s="5">
        <f t="shared" si="2"/>
        <v>356.89679999999998</v>
      </c>
    </row>
    <row r="8" spans="1:18">
      <c r="A8" s="3">
        <v>46048</v>
      </c>
      <c r="B8" t="s">
        <v>92</v>
      </c>
      <c r="C8" t="s">
        <v>93</v>
      </c>
      <c r="D8" t="s">
        <v>94</v>
      </c>
      <c r="E8" t="s">
        <v>36</v>
      </c>
      <c r="F8" t="s">
        <v>95</v>
      </c>
      <c r="G8" t="s">
        <v>22</v>
      </c>
      <c r="H8" t="s">
        <v>15</v>
      </c>
      <c r="I8" t="s">
        <v>96</v>
      </c>
      <c r="J8">
        <v>2</v>
      </c>
      <c r="K8" s="5">
        <v>999</v>
      </c>
      <c r="L8" s="4">
        <v>7.0000000000000007E-2</v>
      </c>
      <c r="M8" t="s">
        <v>97</v>
      </c>
      <c r="N8">
        <v>5</v>
      </c>
      <c r="O8">
        <v>3.5</v>
      </c>
      <c r="P8" s="5">
        <f t="shared" si="0"/>
        <v>1998</v>
      </c>
      <c r="Q8" s="5">
        <f t="shared" si="1"/>
        <v>1858.1399999999999</v>
      </c>
      <c r="R8" s="5">
        <f t="shared" si="2"/>
        <v>455.24429999999995</v>
      </c>
    </row>
    <row r="9" spans="1:18">
      <c r="A9" s="3">
        <v>46381</v>
      </c>
      <c r="B9" t="s">
        <v>98</v>
      </c>
      <c r="C9" t="s">
        <v>47</v>
      </c>
      <c r="D9" t="s">
        <v>87</v>
      </c>
      <c r="E9" t="s">
        <v>32</v>
      </c>
      <c r="F9" t="s">
        <v>90</v>
      </c>
      <c r="G9" t="s">
        <v>28</v>
      </c>
      <c r="H9" t="s">
        <v>21</v>
      </c>
      <c r="I9" t="s">
        <v>69</v>
      </c>
      <c r="J9">
        <v>1</v>
      </c>
      <c r="K9" s="5">
        <v>1599</v>
      </c>
      <c r="L9" s="4">
        <v>7.0000000000000007E-2</v>
      </c>
      <c r="M9" t="s">
        <v>76</v>
      </c>
      <c r="N9">
        <v>5</v>
      </c>
      <c r="O9">
        <v>4</v>
      </c>
      <c r="P9" s="5">
        <f t="shared" si="0"/>
        <v>1599</v>
      </c>
      <c r="Q9" s="5">
        <f t="shared" si="1"/>
        <v>1487.07</v>
      </c>
      <c r="R9" s="5">
        <f t="shared" si="2"/>
        <v>371.76749999999998</v>
      </c>
    </row>
    <row r="10" spans="1:18">
      <c r="A10" s="3">
        <v>46126</v>
      </c>
      <c r="B10" t="s">
        <v>99</v>
      </c>
      <c r="C10" t="s">
        <v>38</v>
      </c>
      <c r="D10" t="s">
        <v>83</v>
      </c>
      <c r="E10" t="s">
        <v>26</v>
      </c>
      <c r="F10" t="s">
        <v>100</v>
      </c>
      <c r="G10" t="s">
        <v>28</v>
      </c>
      <c r="H10" t="s">
        <v>21</v>
      </c>
      <c r="I10" t="s">
        <v>69</v>
      </c>
      <c r="J10">
        <v>1</v>
      </c>
      <c r="K10" s="5">
        <v>5999</v>
      </c>
      <c r="L10" s="4">
        <v>0.12</v>
      </c>
      <c r="M10" t="s">
        <v>76</v>
      </c>
      <c r="N10">
        <v>3</v>
      </c>
      <c r="O10">
        <v>4</v>
      </c>
      <c r="P10" s="5">
        <f t="shared" si="0"/>
        <v>5999</v>
      </c>
      <c r="Q10" s="5">
        <f t="shared" si="1"/>
        <v>5279.12</v>
      </c>
      <c r="R10" s="5">
        <f t="shared" si="2"/>
        <v>1346.1756</v>
      </c>
    </row>
    <row r="11" spans="1:18">
      <c r="A11" s="3">
        <v>46377</v>
      </c>
      <c r="B11" t="s">
        <v>101</v>
      </c>
      <c r="C11" t="s">
        <v>47</v>
      </c>
      <c r="D11" t="s">
        <v>87</v>
      </c>
      <c r="E11" t="s">
        <v>32</v>
      </c>
      <c r="F11" t="s">
        <v>90</v>
      </c>
      <c r="G11" t="s">
        <v>22</v>
      </c>
      <c r="H11" t="s">
        <v>27</v>
      </c>
      <c r="I11" t="s">
        <v>75</v>
      </c>
      <c r="J11">
        <v>3</v>
      </c>
      <c r="K11" s="5">
        <v>1599</v>
      </c>
      <c r="L11" s="4">
        <v>7.0000000000000007E-2</v>
      </c>
      <c r="M11" t="s">
        <v>85</v>
      </c>
      <c r="N11">
        <v>3</v>
      </c>
      <c r="O11">
        <v>5</v>
      </c>
      <c r="P11" s="5">
        <f t="shared" si="0"/>
        <v>4797</v>
      </c>
      <c r="Q11" s="5">
        <f t="shared" si="1"/>
        <v>4461.21</v>
      </c>
      <c r="R11" s="5">
        <f t="shared" si="2"/>
        <v>1159.9146000000001</v>
      </c>
    </row>
    <row r="12" spans="1:18">
      <c r="A12" s="3">
        <v>46073</v>
      </c>
      <c r="B12" t="s">
        <v>102</v>
      </c>
      <c r="C12" t="s">
        <v>47</v>
      </c>
      <c r="D12" t="s">
        <v>87</v>
      </c>
      <c r="E12" t="s">
        <v>36</v>
      </c>
      <c r="F12" t="s">
        <v>103</v>
      </c>
      <c r="G12" t="s">
        <v>22</v>
      </c>
      <c r="H12" t="s">
        <v>27</v>
      </c>
      <c r="I12" t="s">
        <v>96</v>
      </c>
      <c r="J12">
        <v>2</v>
      </c>
      <c r="K12" s="5">
        <v>499</v>
      </c>
      <c r="L12" s="4">
        <v>0.02</v>
      </c>
      <c r="M12" t="s">
        <v>81</v>
      </c>
      <c r="N12">
        <v>4</v>
      </c>
      <c r="O12">
        <v>5</v>
      </c>
      <c r="P12" s="5">
        <f t="shared" si="0"/>
        <v>998</v>
      </c>
      <c r="Q12" s="5">
        <f t="shared" si="1"/>
        <v>978.04</v>
      </c>
      <c r="R12" s="5">
        <f t="shared" si="2"/>
        <v>259.18060000000003</v>
      </c>
    </row>
    <row r="13" spans="1:18">
      <c r="A13" s="3">
        <v>46212</v>
      </c>
      <c r="B13" t="s">
        <v>104</v>
      </c>
      <c r="C13" t="s">
        <v>24</v>
      </c>
      <c r="D13" t="s">
        <v>105</v>
      </c>
      <c r="E13" t="s">
        <v>20</v>
      </c>
      <c r="F13" t="s">
        <v>106</v>
      </c>
      <c r="G13" t="s">
        <v>16</v>
      </c>
      <c r="H13" t="s">
        <v>15</v>
      </c>
      <c r="I13" t="s">
        <v>96</v>
      </c>
      <c r="J13">
        <v>1</v>
      </c>
      <c r="K13" s="5">
        <v>1799</v>
      </c>
      <c r="L13" s="4">
        <v>0</v>
      </c>
      <c r="M13" t="s">
        <v>81</v>
      </c>
      <c r="N13">
        <v>4</v>
      </c>
      <c r="O13">
        <v>4</v>
      </c>
      <c r="P13" s="5">
        <f t="shared" si="0"/>
        <v>1799</v>
      </c>
      <c r="Q13" s="5">
        <f t="shared" si="1"/>
        <v>1799</v>
      </c>
      <c r="R13" s="5">
        <f t="shared" si="2"/>
        <v>485.73</v>
      </c>
    </row>
    <row r="14" spans="1:18">
      <c r="A14" s="3">
        <v>46084</v>
      </c>
      <c r="B14" t="s">
        <v>107</v>
      </c>
      <c r="C14" t="s">
        <v>72</v>
      </c>
      <c r="D14" t="s">
        <v>73</v>
      </c>
      <c r="E14" t="s">
        <v>14</v>
      </c>
      <c r="F14" t="s">
        <v>108</v>
      </c>
      <c r="G14" t="s">
        <v>28</v>
      </c>
      <c r="H14" t="s">
        <v>21</v>
      </c>
      <c r="I14" t="s">
        <v>109</v>
      </c>
      <c r="J14">
        <v>4</v>
      </c>
      <c r="K14" s="5">
        <v>1999</v>
      </c>
      <c r="L14" s="4">
        <v>0.12</v>
      </c>
      <c r="M14" t="s">
        <v>91</v>
      </c>
      <c r="N14">
        <v>3</v>
      </c>
      <c r="O14">
        <v>4.5</v>
      </c>
      <c r="P14" s="5">
        <f t="shared" si="0"/>
        <v>7996</v>
      </c>
      <c r="Q14" s="5">
        <f t="shared" si="1"/>
        <v>7036.4800000000005</v>
      </c>
      <c r="R14" s="5">
        <f t="shared" si="2"/>
        <v>1688.7552000000001</v>
      </c>
    </row>
    <row r="15" spans="1:18">
      <c r="A15" s="3">
        <v>46274</v>
      </c>
      <c r="B15" t="s">
        <v>110</v>
      </c>
      <c r="C15" t="s">
        <v>93</v>
      </c>
      <c r="D15" t="s">
        <v>94</v>
      </c>
      <c r="E15" t="s">
        <v>20</v>
      </c>
      <c r="F15" t="s">
        <v>111</v>
      </c>
      <c r="G15" t="s">
        <v>16</v>
      </c>
      <c r="H15" t="s">
        <v>27</v>
      </c>
      <c r="I15" t="s">
        <v>69</v>
      </c>
      <c r="J15">
        <v>1</v>
      </c>
      <c r="K15" s="5">
        <v>2799</v>
      </c>
      <c r="L15" s="4">
        <v>0.1</v>
      </c>
      <c r="M15" t="s">
        <v>85</v>
      </c>
      <c r="N15">
        <v>2</v>
      </c>
      <c r="O15">
        <v>4.5</v>
      </c>
      <c r="P15" s="5">
        <f t="shared" si="0"/>
        <v>2799</v>
      </c>
      <c r="Q15" s="5">
        <f t="shared" si="1"/>
        <v>2519.1</v>
      </c>
      <c r="R15" s="5">
        <f t="shared" si="2"/>
        <v>617.17949999999996</v>
      </c>
    </row>
    <row r="16" spans="1:18">
      <c r="A16" s="3">
        <v>46092</v>
      </c>
      <c r="B16" t="s">
        <v>112</v>
      </c>
      <c r="C16" t="s">
        <v>72</v>
      </c>
      <c r="D16" t="s">
        <v>73</v>
      </c>
      <c r="E16" t="s">
        <v>26</v>
      </c>
      <c r="F16" t="s">
        <v>113</v>
      </c>
      <c r="G16" t="s">
        <v>16</v>
      </c>
      <c r="H16" t="s">
        <v>27</v>
      </c>
      <c r="I16" t="s">
        <v>109</v>
      </c>
      <c r="J16">
        <v>1</v>
      </c>
      <c r="K16" s="5">
        <v>2299</v>
      </c>
      <c r="L16" s="4">
        <v>0.15</v>
      </c>
      <c r="M16" t="s">
        <v>70</v>
      </c>
      <c r="N16">
        <v>1</v>
      </c>
      <c r="O16">
        <v>3.5</v>
      </c>
      <c r="P16" s="5">
        <f t="shared" si="0"/>
        <v>2299</v>
      </c>
      <c r="Q16" s="5">
        <f t="shared" si="1"/>
        <v>1954.1499999999999</v>
      </c>
      <c r="R16" s="5">
        <f t="shared" si="2"/>
        <v>488.53749999999997</v>
      </c>
    </row>
    <row r="17" spans="1:18">
      <c r="A17" s="3">
        <v>46060</v>
      </c>
      <c r="B17" t="s">
        <v>114</v>
      </c>
      <c r="C17" t="s">
        <v>18</v>
      </c>
      <c r="D17" t="s">
        <v>115</v>
      </c>
      <c r="E17" t="s">
        <v>26</v>
      </c>
      <c r="F17" t="s">
        <v>116</v>
      </c>
      <c r="G17" t="s">
        <v>16</v>
      </c>
      <c r="H17" t="s">
        <v>27</v>
      </c>
      <c r="I17" t="s">
        <v>96</v>
      </c>
      <c r="J17">
        <v>4</v>
      </c>
      <c r="K17" s="5">
        <v>899</v>
      </c>
      <c r="L17" s="4">
        <v>0</v>
      </c>
      <c r="M17" t="s">
        <v>117</v>
      </c>
      <c r="N17">
        <v>4</v>
      </c>
      <c r="O17">
        <v>4.5</v>
      </c>
      <c r="P17" s="5">
        <f t="shared" si="0"/>
        <v>3596</v>
      </c>
      <c r="Q17" s="5">
        <f t="shared" si="1"/>
        <v>3596</v>
      </c>
      <c r="R17" s="5">
        <f t="shared" si="2"/>
        <v>916.98</v>
      </c>
    </row>
    <row r="18" spans="1:18">
      <c r="A18" s="3">
        <v>46085</v>
      </c>
      <c r="B18" t="s">
        <v>118</v>
      </c>
      <c r="C18" t="s">
        <v>47</v>
      </c>
      <c r="D18" t="s">
        <v>87</v>
      </c>
      <c r="E18" t="s">
        <v>32</v>
      </c>
      <c r="F18" t="s">
        <v>90</v>
      </c>
      <c r="G18" t="s">
        <v>16</v>
      </c>
      <c r="H18" t="s">
        <v>27</v>
      </c>
      <c r="I18" t="s">
        <v>69</v>
      </c>
      <c r="J18">
        <v>2</v>
      </c>
      <c r="K18" s="5">
        <v>1599</v>
      </c>
      <c r="L18" s="4">
        <v>0.02</v>
      </c>
      <c r="M18" t="s">
        <v>97</v>
      </c>
      <c r="N18">
        <v>3</v>
      </c>
      <c r="O18">
        <v>4</v>
      </c>
      <c r="P18" s="5">
        <f t="shared" si="0"/>
        <v>3198</v>
      </c>
      <c r="Q18" s="5">
        <f t="shared" si="1"/>
        <v>3134.04</v>
      </c>
      <c r="R18" s="5">
        <f t="shared" si="2"/>
        <v>814.85040000000004</v>
      </c>
    </row>
    <row r="19" spans="1:18">
      <c r="A19" s="3">
        <v>46329</v>
      </c>
      <c r="B19" t="s">
        <v>119</v>
      </c>
      <c r="C19" t="s">
        <v>34</v>
      </c>
      <c r="D19" t="s">
        <v>120</v>
      </c>
      <c r="E19" t="s">
        <v>14</v>
      </c>
      <c r="F19" t="s">
        <v>108</v>
      </c>
      <c r="G19" t="s">
        <v>28</v>
      </c>
      <c r="H19" t="s">
        <v>15</v>
      </c>
      <c r="I19" t="s">
        <v>75</v>
      </c>
      <c r="J19">
        <v>1</v>
      </c>
      <c r="K19" s="5">
        <v>1999</v>
      </c>
      <c r="L19" s="4">
        <v>0.02</v>
      </c>
      <c r="M19" t="s">
        <v>91</v>
      </c>
      <c r="N19">
        <v>3</v>
      </c>
      <c r="O19">
        <v>5</v>
      </c>
      <c r="P19" s="5">
        <f t="shared" si="0"/>
        <v>1999</v>
      </c>
      <c r="Q19" s="5">
        <f t="shared" si="1"/>
        <v>1959.02</v>
      </c>
      <c r="R19" s="5">
        <f t="shared" si="2"/>
        <v>519.14030000000002</v>
      </c>
    </row>
    <row r="20" spans="1:18">
      <c r="A20" s="3">
        <v>46119</v>
      </c>
      <c r="B20" t="s">
        <v>121</v>
      </c>
      <c r="C20" t="s">
        <v>47</v>
      </c>
      <c r="D20" t="s">
        <v>87</v>
      </c>
      <c r="E20" t="s">
        <v>14</v>
      </c>
      <c r="F20" t="s">
        <v>122</v>
      </c>
      <c r="G20" t="s">
        <v>28</v>
      </c>
      <c r="H20" t="s">
        <v>15</v>
      </c>
      <c r="I20" t="s">
        <v>109</v>
      </c>
      <c r="J20">
        <v>2</v>
      </c>
      <c r="K20" s="5">
        <v>3999</v>
      </c>
      <c r="L20" s="4">
        <v>0.02</v>
      </c>
      <c r="M20" t="s">
        <v>123</v>
      </c>
      <c r="N20">
        <v>3</v>
      </c>
      <c r="O20">
        <v>4.5</v>
      </c>
      <c r="P20" s="5">
        <f t="shared" si="0"/>
        <v>7998</v>
      </c>
      <c r="Q20" s="5">
        <f t="shared" si="1"/>
        <v>7838.04</v>
      </c>
      <c r="R20" s="5">
        <f t="shared" si="2"/>
        <v>2116.2708000000002</v>
      </c>
    </row>
    <row r="21" spans="1:18">
      <c r="A21" s="3">
        <v>46235</v>
      </c>
      <c r="B21" t="s">
        <v>124</v>
      </c>
      <c r="C21" t="s">
        <v>24</v>
      </c>
      <c r="D21" t="s">
        <v>105</v>
      </c>
      <c r="E21" t="s">
        <v>32</v>
      </c>
      <c r="F21" t="s">
        <v>125</v>
      </c>
      <c r="G21" t="s">
        <v>22</v>
      </c>
      <c r="H21" t="s">
        <v>21</v>
      </c>
      <c r="I21" t="s">
        <v>96</v>
      </c>
      <c r="J21">
        <v>1</v>
      </c>
      <c r="K21" s="5">
        <v>1299</v>
      </c>
      <c r="L21" s="4">
        <v>0.02</v>
      </c>
      <c r="M21" t="s">
        <v>70</v>
      </c>
      <c r="N21">
        <v>3</v>
      </c>
      <c r="O21">
        <v>4</v>
      </c>
      <c r="P21" s="5">
        <f t="shared" si="0"/>
        <v>1299</v>
      </c>
      <c r="Q21" s="5">
        <f t="shared" si="1"/>
        <v>1273.02</v>
      </c>
      <c r="R21" s="5">
        <f t="shared" si="2"/>
        <v>305.52479999999997</v>
      </c>
    </row>
    <row r="22" spans="1:18">
      <c r="A22" s="3">
        <v>46288</v>
      </c>
      <c r="B22" t="s">
        <v>126</v>
      </c>
      <c r="C22" t="s">
        <v>47</v>
      </c>
      <c r="D22" t="s">
        <v>87</v>
      </c>
      <c r="E22" t="s">
        <v>32</v>
      </c>
      <c r="F22" t="s">
        <v>88</v>
      </c>
      <c r="G22" t="s">
        <v>22</v>
      </c>
      <c r="H22" t="s">
        <v>15</v>
      </c>
      <c r="I22" t="s">
        <v>109</v>
      </c>
      <c r="J22">
        <v>2</v>
      </c>
      <c r="K22" s="5">
        <v>799</v>
      </c>
      <c r="L22" s="4">
        <v>0.1</v>
      </c>
      <c r="M22" t="s">
        <v>97</v>
      </c>
      <c r="N22">
        <v>1</v>
      </c>
      <c r="O22">
        <v>3.5</v>
      </c>
      <c r="P22" s="5">
        <f t="shared" si="0"/>
        <v>1598</v>
      </c>
      <c r="Q22" s="5">
        <f t="shared" si="1"/>
        <v>1438.2</v>
      </c>
      <c r="R22" s="5">
        <f t="shared" si="2"/>
        <v>352.35899999999998</v>
      </c>
    </row>
    <row r="23" spans="1:18">
      <c r="A23" s="3">
        <v>46255</v>
      </c>
      <c r="B23" t="s">
        <v>127</v>
      </c>
      <c r="C23" t="s">
        <v>78</v>
      </c>
      <c r="D23" t="s">
        <v>79</v>
      </c>
      <c r="E23" t="s">
        <v>26</v>
      </c>
      <c r="F23" t="s">
        <v>84</v>
      </c>
      <c r="G23" t="s">
        <v>28</v>
      </c>
      <c r="H23" t="s">
        <v>15</v>
      </c>
      <c r="I23" t="s">
        <v>75</v>
      </c>
      <c r="J23">
        <v>2</v>
      </c>
      <c r="K23" s="5">
        <v>4499</v>
      </c>
      <c r="L23" s="4">
        <v>0.15</v>
      </c>
      <c r="M23" t="s">
        <v>117</v>
      </c>
      <c r="N23">
        <v>5</v>
      </c>
      <c r="O23">
        <v>4</v>
      </c>
      <c r="P23" s="5">
        <f t="shared" si="0"/>
        <v>8998</v>
      </c>
      <c r="Q23" s="5">
        <f t="shared" si="1"/>
        <v>7648.3</v>
      </c>
      <c r="R23" s="5">
        <f t="shared" si="2"/>
        <v>1912.075</v>
      </c>
    </row>
    <row r="24" spans="1:18">
      <c r="A24" s="3">
        <v>46374</v>
      </c>
      <c r="B24" t="s">
        <v>128</v>
      </c>
      <c r="C24" t="s">
        <v>72</v>
      </c>
      <c r="D24" t="s">
        <v>73</v>
      </c>
      <c r="E24" t="s">
        <v>36</v>
      </c>
      <c r="F24" t="s">
        <v>129</v>
      </c>
      <c r="G24" t="s">
        <v>22</v>
      </c>
      <c r="H24" t="s">
        <v>27</v>
      </c>
      <c r="I24" t="s">
        <v>69</v>
      </c>
      <c r="J24">
        <v>1</v>
      </c>
      <c r="K24" s="5">
        <v>699</v>
      </c>
      <c r="L24" s="4">
        <v>0.12</v>
      </c>
      <c r="M24" t="s">
        <v>97</v>
      </c>
      <c r="N24">
        <v>4</v>
      </c>
      <c r="O24">
        <v>4.5</v>
      </c>
      <c r="P24" s="5">
        <f t="shared" si="0"/>
        <v>699</v>
      </c>
      <c r="Q24" s="5">
        <f t="shared" si="1"/>
        <v>615.12</v>
      </c>
      <c r="R24" s="5">
        <f t="shared" si="2"/>
        <v>156.85560000000001</v>
      </c>
    </row>
    <row r="25" spans="1:18">
      <c r="A25" s="3">
        <v>46366</v>
      </c>
      <c r="B25" t="s">
        <v>130</v>
      </c>
      <c r="C25" t="s">
        <v>131</v>
      </c>
      <c r="D25" t="s">
        <v>132</v>
      </c>
      <c r="E25" t="s">
        <v>20</v>
      </c>
      <c r="F25" t="s">
        <v>133</v>
      </c>
      <c r="G25" t="s">
        <v>22</v>
      </c>
      <c r="H25" t="s">
        <v>15</v>
      </c>
      <c r="I25" t="s">
        <v>75</v>
      </c>
      <c r="J25">
        <v>3</v>
      </c>
      <c r="K25" s="5">
        <v>3499</v>
      </c>
      <c r="L25" s="4">
        <v>0</v>
      </c>
      <c r="M25" t="s">
        <v>91</v>
      </c>
      <c r="N25">
        <v>4</v>
      </c>
      <c r="O25">
        <v>5</v>
      </c>
      <c r="P25" s="5">
        <f t="shared" si="0"/>
        <v>10497</v>
      </c>
      <c r="Q25" s="5">
        <f t="shared" si="1"/>
        <v>10497</v>
      </c>
      <c r="R25" s="5">
        <f t="shared" si="2"/>
        <v>2729.2200000000003</v>
      </c>
    </row>
    <row r="26" spans="1:18">
      <c r="A26" s="3">
        <v>46117</v>
      </c>
      <c r="B26" t="s">
        <v>134</v>
      </c>
      <c r="C26" t="s">
        <v>78</v>
      </c>
      <c r="D26" t="s">
        <v>79</v>
      </c>
      <c r="E26" t="s">
        <v>14</v>
      </c>
      <c r="F26" t="s">
        <v>108</v>
      </c>
      <c r="G26" t="s">
        <v>16</v>
      </c>
      <c r="H26" t="s">
        <v>21</v>
      </c>
      <c r="I26" t="s">
        <v>135</v>
      </c>
      <c r="J26">
        <v>1</v>
      </c>
      <c r="K26" s="5">
        <v>1999</v>
      </c>
      <c r="L26" s="4">
        <v>0.1</v>
      </c>
      <c r="M26" t="s">
        <v>123</v>
      </c>
      <c r="N26">
        <v>3</v>
      </c>
      <c r="O26">
        <v>3.5</v>
      </c>
      <c r="P26" s="5">
        <f t="shared" si="0"/>
        <v>1999</v>
      </c>
      <c r="Q26" s="5">
        <f t="shared" si="1"/>
        <v>1799.1000000000001</v>
      </c>
      <c r="R26" s="5">
        <f t="shared" si="2"/>
        <v>476.76150000000007</v>
      </c>
    </row>
    <row r="27" spans="1:18">
      <c r="A27" s="3">
        <v>46233</v>
      </c>
      <c r="B27" t="s">
        <v>136</v>
      </c>
      <c r="C27" t="s">
        <v>38</v>
      </c>
      <c r="D27" t="s">
        <v>83</v>
      </c>
      <c r="E27" t="s">
        <v>32</v>
      </c>
      <c r="F27" t="s">
        <v>88</v>
      </c>
      <c r="G27" t="s">
        <v>16</v>
      </c>
      <c r="H27" t="s">
        <v>21</v>
      </c>
      <c r="I27" t="s">
        <v>75</v>
      </c>
      <c r="J27">
        <v>1</v>
      </c>
      <c r="K27" s="5">
        <v>799</v>
      </c>
      <c r="L27" s="4">
        <v>0.02</v>
      </c>
      <c r="M27" t="s">
        <v>81</v>
      </c>
      <c r="N27">
        <v>4</v>
      </c>
      <c r="O27">
        <v>4.5</v>
      </c>
      <c r="P27" s="5">
        <f t="shared" si="0"/>
        <v>799</v>
      </c>
      <c r="Q27" s="5">
        <f t="shared" si="1"/>
        <v>783.02</v>
      </c>
      <c r="R27" s="5">
        <f t="shared" si="2"/>
        <v>211.41540000000001</v>
      </c>
    </row>
    <row r="28" spans="1:18">
      <c r="A28" s="3">
        <v>46202</v>
      </c>
      <c r="B28" t="s">
        <v>137</v>
      </c>
      <c r="C28" t="s">
        <v>41</v>
      </c>
      <c r="D28" t="s">
        <v>67</v>
      </c>
      <c r="E28" t="s">
        <v>32</v>
      </c>
      <c r="F28" t="s">
        <v>90</v>
      </c>
      <c r="G28" t="s">
        <v>28</v>
      </c>
      <c r="H28" t="s">
        <v>15</v>
      </c>
      <c r="I28" t="s">
        <v>96</v>
      </c>
      <c r="J28">
        <v>2</v>
      </c>
      <c r="K28" s="5">
        <v>1599</v>
      </c>
      <c r="L28" s="4">
        <v>0.12</v>
      </c>
      <c r="M28" t="s">
        <v>117</v>
      </c>
      <c r="N28">
        <v>4</v>
      </c>
      <c r="O28">
        <v>4.5</v>
      </c>
      <c r="P28" s="5">
        <f t="shared" si="0"/>
        <v>3198</v>
      </c>
      <c r="Q28" s="5">
        <f t="shared" si="1"/>
        <v>2814.2400000000002</v>
      </c>
      <c r="R28" s="5">
        <f t="shared" si="2"/>
        <v>675.41759999999999</v>
      </c>
    </row>
    <row r="29" spans="1:18">
      <c r="A29" s="3">
        <v>46241</v>
      </c>
      <c r="B29" t="s">
        <v>138</v>
      </c>
      <c r="C29" t="s">
        <v>78</v>
      </c>
      <c r="D29" t="s">
        <v>79</v>
      </c>
      <c r="E29" t="s">
        <v>14</v>
      </c>
      <c r="F29" t="s">
        <v>139</v>
      </c>
      <c r="G29" t="s">
        <v>22</v>
      </c>
      <c r="H29" t="s">
        <v>21</v>
      </c>
      <c r="I29" t="s">
        <v>135</v>
      </c>
      <c r="J29">
        <v>3</v>
      </c>
      <c r="K29" s="5">
        <v>2999</v>
      </c>
      <c r="L29" s="4">
        <v>0.12</v>
      </c>
      <c r="M29" t="s">
        <v>117</v>
      </c>
      <c r="N29">
        <v>1</v>
      </c>
      <c r="O29">
        <v>4.5</v>
      </c>
      <c r="P29" s="5">
        <f t="shared" si="0"/>
        <v>8997</v>
      </c>
      <c r="Q29" s="5">
        <f t="shared" si="1"/>
        <v>7917.36</v>
      </c>
      <c r="R29" s="5">
        <f t="shared" si="2"/>
        <v>1939.7531999999999</v>
      </c>
    </row>
    <row r="30" spans="1:18">
      <c r="A30" s="3">
        <v>46035</v>
      </c>
      <c r="B30" t="s">
        <v>140</v>
      </c>
      <c r="C30" t="s">
        <v>38</v>
      </c>
      <c r="D30" t="s">
        <v>83</v>
      </c>
      <c r="E30" t="s">
        <v>26</v>
      </c>
      <c r="F30" t="s">
        <v>116</v>
      </c>
      <c r="G30" t="s">
        <v>16</v>
      </c>
      <c r="H30" t="s">
        <v>21</v>
      </c>
      <c r="I30" t="s">
        <v>96</v>
      </c>
      <c r="J30">
        <v>2</v>
      </c>
      <c r="K30" s="5">
        <v>899</v>
      </c>
      <c r="L30" s="4">
        <v>0.15</v>
      </c>
      <c r="M30" t="s">
        <v>117</v>
      </c>
      <c r="N30">
        <v>4</v>
      </c>
      <c r="O30">
        <v>3</v>
      </c>
      <c r="P30" s="5">
        <f t="shared" si="0"/>
        <v>1798</v>
      </c>
      <c r="Q30" s="5">
        <f t="shared" si="1"/>
        <v>1528.3</v>
      </c>
      <c r="R30" s="5">
        <f t="shared" si="2"/>
        <v>382.07499999999999</v>
      </c>
    </row>
    <row r="31" spans="1:18">
      <c r="A31" s="3">
        <v>46198</v>
      </c>
      <c r="B31" t="s">
        <v>141</v>
      </c>
      <c r="C31" t="s">
        <v>34</v>
      </c>
      <c r="D31" t="s">
        <v>120</v>
      </c>
      <c r="E31" t="s">
        <v>36</v>
      </c>
      <c r="F31" t="s">
        <v>95</v>
      </c>
      <c r="G31" t="s">
        <v>16</v>
      </c>
      <c r="H31" t="s">
        <v>27</v>
      </c>
      <c r="I31" t="s">
        <v>75</v>
      </c>
      <c r="J31">
        <v>2</v>
      </c>
      <c r="K31" s="5">
        <v>999</v>
      </c>
      <c r="L31" s="4">
        <v>0</v>
      </c>
      <c r="M31" t="s">
        <v>81</v>
      </c>
      <c r="N31">
        <v>1</v>
      </c>
      <c r="O31">
        <v>4.5</v>
      </c>
      <c r="P31" s="5">
        <f t="shared" si="0"/>
        <v>1998</v>
      </c>
      <c r="Q31" s="5">
        <f t="shared" si="1"/>
        <v>1998</v>
      </c>
      <c r="R31" s="5">
        <f t="shared" si="2"/>
        <v>509.49</v>
      </c>
    </row>
    <row r="32" spans="1:18">
      <c r="A32" s="3">
        <v>46328</v>
      </c>
      <c r="B32" t="s">
        <v>142</v>
      </c>
      <c r="C32" t="s">
        <v>78</v>
      </c>
      <c r="D32" t="s">
        <v>79</v>
      </c>
      <c r="E32" t="s">
        <v>26</v>
      </c>
      <c r="F32" t="s">
        <v>100</v>
      </c>
      <c r="G32" t="s">
        <v>22</v>
      </c>
      <c r="H32" t="s">
        <v>21</v>
      </c>
      <c r="I32" t="s">
        <v>96</v>
      </c>
      <c r="J32">
        <v>2</v>
      </c>
      <c r="K32" s="5">
        <v>5999</v>
      </c>
      <c r="L32" s="4">
        <v>0.02</v>
      </c>
      <c r="M32" t="s">
        <v>70</v>
      </c>
      <c r="N32">
        <v>2</v>
      </c>
      <c r="O32">
        <v>4.5</v>
      </c>
      <c r="P32" s="5">
        <f t="shared" si="0"/>
        <v>11998</v>
      </c>
      <c r="Q32" s="5">
        <f t="shared" si="1"/>
        <v>11758.039999999999</v>
      </c>
      <c r="R32" s="5">
        <f t="shared" si="2"/>
        <v>3057.0904</v>
      </c>
    </row>
    <row r="33" spans="1:18">
      <c r="A33" s="3">
        <v>46135</v>
      </c>
      <c r="B33" t="s">
        <v>143</v>
      </c>
      <c r="C33" t="s">
        <v>30</v>
      </c>
      <c r="D33" t="s">
        <v>144</v>
      </c>
      <c r="E33" t="s">
        <v>20</v>
      </c>
      <c r="F33" t="s">
        <v>111</v>
      </c>
      <c r="G33" t="s">
        <v>28</v>
      </c>
      <c r="H33" t="s">
        <v>27</v>
      </c>
      <c r="I33" t="s">
        <v>69</v>
      </c>
      <c r="J33">
        <v>1</v>
      </c>
      <c r="K33" s="5">
        <v>2799</v>
      </c>
      <c r="L33" s="4">
        <v>0.12</v>
      </c>
      <c r="M33" t="s">
        <v>70</v>
      </c>
      <c r="N33">
        <v>5</v>
      </c>
      <c r="O33">
        <v>5</v>
      </c>
      <c r="P33" s="5">
        <f t="shared" si="0"/>
        <v>2799</v>
      </c>
      <c r="Q33" s="5">
        <f t="shared" si="1"/>
        <v>2463.12</v>
      </c>
      <c r="R33" s="5">
        <f t="shared" si="2"/>
        <v>652.72680000000003</v>
      </c>
    </row>
    <row r="34" spans="1:18">
      <c r="A34" s="3">
        <v>46139</v>
      </c>
      <c r="B34" t="s">
        <v>145</v>
      </c>
      <c r="C34" t="s">
        <v>18</v>
      </c>
      <c r="D34" t="s">
        <v>115</v>
      </c>
      <c r="E34" t="s">
        <v>14</v>
      </c>
      <c r="F34" t="s">
        <v>139</v>
      </c>
      <c r="G34" t="s">
        <v>22</v>
      </c>
      <c r="H34" t="s">
        <v>21</v>
      </c>
      <c r="I34" t="s">
        <v>109</v>
      </c>
      <c r="J34">
        <v>2</v>
      </c>
      <c r="K34" s="5">
        <v>2999</v>
      </c>
      <c r="L34" s="4">
        <v>7.0000000000000007E-2</v>
      </c>
      <c r="M34" t="s">
        <v>81</v>
      </c>
      <c r="N34">
        <v>5</v>
      </c>
      <c r="O34">
        <v>4.5</v>
      </c>
      <c r="P34" s="5">
        <f t="shared" si="0"/>
        <v>5998</v>
      </c>
      <c r="Q34" s="5">
        <f t="shared" si="1"/>
        <v>5578.1399999999994</v>
      </c>
      <c r="R34" s="5">
        <f t="shared" si="2"/>
        <v>1506.0978</v>
      </c>
    </row>
    <row r="35" spans="1:18">
      <c r="A35" s="3">
        <v>46355</v>
      </c>
      <c r="B35" t="s">
        <v>146</v>
      </c>
      <c r="C35" t="s">
        <v>131</v>
      </c>
      <c r="D35" t="s">
        <v>132</v>
      </c>
      <c r="E35" t="s">
        <v>26</v>
      </c>
      <c r="F35" t="s">
        <v>116</v>
      </c>
      <c r="G35" t="s">
        <v>28</v>
      </c>
      <c r="H35" t="s">
        <v>21</v>
      </c>
      <c r="I35" t="s">
        <v>75</v>
      </c>
      <c r="J35">
        <v>2</v>
      </c>
      <c r="K35" s="5">
        <v>899</v>
      </c>
      <c r="L35" s="4">
        <v>0.15</v>
      </c>
      <c r="M35" t="s">
        <v>91</v>
      </c>
      <c r="N35">
        <v>4</v>
      </c>
      <c r="O35">
        <v>4</v>
      </c>
      <c r="P35" s="5">
        <f t="shared" si="0"/>
        <v>1798</v>
      </c>
      <c r="Q35" s="5">
        <f t="shared" si="1"/>
        <v>1528.3</v>
      </c>
      <c r="R35" s="5">
        <f t="shared" si="2"/>
        <v>366.79199999999997</v>
      </c>
    </row>
    <row r="36" spans="1:18">
      <c r="A36" s="3">
        <v>46052</v>
      </c>
      <c r="B36" t="s">
        <v>147</v>
      </c>
      <c r="C36" t="s">
        <v>34</v>
      </c>
      <c r="D36" t="s">
        <v>120</v>
      </c>
      <c r="E36" t="s">
        <v>36</v>
      </c>
      <c r="F36" t="s">
        <v>129</v>
      </c>
      <c r="G36" t="s">
        <v>22</v>
      </c>
      <c r="H36" t="s">
        <v>27</v>
      </c>
      <c r="I36" t="s">
        <v>135</v>
      </c>
      <c r="J36">
        <v>4</v>
      </c>
      <c r="K36" s="5">
        <v>699</v>
      </c>
      <c r="L36" s="4">
        <v>0.15</v>
      </c>
      <c r="M36" t="s">
        <v>97</v>
      </c>
      <c r="N36">
        <v>4</v>
      </c>
      <c r="O36">
        <v>4</v>
      </c>
      <c r="P36" s="5">
        <f t="shared" si="0"/>
        <v>2796</v>
      </c>
      <c r="Q36" s="5">
        <f t="shared" si="1"/>
        <v>2376.6</v>
      </c>
      <c r="R36" s="5">
        <f t="shared" si="2"/>
        <v>582.26699999999994</v>
      </c>
    </row>
    <row r="37" spans="1:18">
      <c r="A37" s="3">
        <v>46125</v>
      </c>
      <c r="B37" t="s">
        <v>148</v>
      </c>
      <c r="C37" t="s">
        <v>41</v>
      </c>
      <c r="D37" t="s">
        <v>67</v>
      </c>
      <c r="E37" t="s">
        <v>26</v>
      </c>
      <c r="F37" t="s">
        <v>84</v>
      </c>
      <c r="G37" t="s">
        <v>22</v>
      </c>
      <c r="H37" t="s">
        <v>27</v>
      </c>
      <c r="I37" t="s">
        <v>69</v>
      </c>
      <c r="J37">
        <v>2</v>
      </c>
      <c r="K37" s="5">
        <v>4499</v>
      </c>
      <c r="L37" s="4">
        <v>0.1</v>
      </c>
      <c r="M37" t="s">
        <v>85</v>
      </c>
      <c r="N37">
        <v>2</v>
      </c>
      <c r="O37">
        <v>4.5</v>
      </c>
      <c r="P37" s="5">
        <f t="shared" si="0"/>
        <v>8998</v>
      </c>
      <c r="Q37" s="5">
        <f t="shared" si="1"/>
        <v>8098.2</v>
      </c>
      <c r="R37" s="5">
        <f t="shared" si="2"/>
        <v>2024.55</v>
      </c>
    </row>
    <row r="38" spans="1:18">
      <c r="A38" s="3">
        <v>46101</v>
      </c>
      <c r="B38" t="s">
        <v>149</v>
      </c>
      <c r="C38" t="s">
        <v>47</v>
      </c>
      <c r="D38" t="s">
        <v>87</v>
      </c>
      <c r="E38" t="s">
        <v>14</v>
      </c>
      <c r="F38" t="s">
        <v>139</v>
      </c>
      <c r="G38" t="s">
        <v>28</v>
      </c>
      <c r="H38" t="s">
        <v>27</v>
      </c>
      <c r="I38" t="s">
        <v>96</v>
      </c>
      <c r="J38">
        <v>3</v>
      </c>
      <c r="K38" s="5">
        <v>2999</v>
      </c>
      <c r="L38" s="4">
        <v>0.15</v>
      </c>
      <c r="M38" t="s">
        <v>91</v>
      </c>
      <c r="N38">
        <v>4</v>
      </c>
      <c r="O38">
        <v>3.5</v>
      </c>
      <c r="P38" s="5">
        <f t="shared" si="0"/>
        <v>8997</v>
      </c>
      <c r="Q38" s="5">
        <f t="shared" si="1"/>
        <v>7647.45</v>
      </c>
      <c r="R38" s="5">
        <f t="shared" si="2"/>
        <v>1950.0997500000001</v>
      </c>
    </row>
    <row r="39" spans="1:18">
      <c r="A39" s="3">
        <v>46213</v>
      </c>
      <c r="B39" t="s">
        <v>150</v>
      </c>
      <c r="C39" t="s">
        <v>131</v>
      </c>
      <c r="D39" t="s">
        <v>132</v>
      </c>
      <c r="E39" t="s">
        <v>26</v>
      </c>
      <c r="F39" t="s">
        <v>80</v>
      </c>
      <c r="G39" t="s">
        <v>16</v>
      </c>
      <c r="H39" t="s">
        <v>27</v>
      </c>
      <c r="I39" t="s">
        <v>109</v>
      </c>
      <c r="J39">
        <v>2</v>
      </c>
      <c r="K39" s="5">
        <v>1499</v>
      </c>
      <c r="L39" s="4">
        <v>0</v>
      </c>
      <c r="M39" t="s">
        <v>85</v>
      </c>
      <c r="N39">
        <v>4</v>
      </c>
      <c r="O39">
        <v>5</v>
      </c>
      <c r="P39" s="5">
        <f t="shared" si="0"/>
        <v>2998</v>
      </c>
      <c r="Q39" s="5">
        <f t="shared" si="1"/>
        <v>2998</v>
      </c>
      <c r="R39" s="5">
        <f t="shared" si="2"/>
        <v>779.48</v>
      </c>
    </row>
    <row r="40" spans="1:18">
      <c r="A40" s="3">
        <v>46217</v>
      </c>
      <c r="B40" t="s">
        <v>151</v>
      </c>
      <c r="C40" t="s">
        <v>131</v>
      </c>
      <c r="D40" t="s">
        <v>132</v>
      </c>
      <c r="E40" t="s">
        <v>36</v>
      </c>
      <c r="F40" t="s">
        <v>129</v>
      </c>
      <c r="G40" t="s">
        <v>16</v>
      </c>
      <c r="H40" t="s">
        <v>15</v>
      </c>
      <c r="I40" t="s">
        <v>96</v>
      </c>
      <c r="J40">
        <v>4</v>
      </c>
      <c r="K40" s="5">
        <v>699</v>
      </c>
      <c r="L40" s="4">
        <v>0</v>
      </c>
      <c r="M40" t="s">
        <v>117</v>
      </c>
      <c r="N40">
        <v>4</v>
      </c>
      <c r="O40">
        <v>4</v>
      </c>
      <c r="P40" s="5">
        <f t="shared" si="0"/>
        <v>2796</v>
      </c>
      <c r="Q40" s="5">
        <f t="shared" si="1"/>
        <v>2796</v>
      </c>
      <c r="R40" s="5">
        <f t="shared" si="2"/>
        <v>740.94</v>
      </c>
    </row>
    <row r="41" spans="1:18">
      <c r="A41" s="3">
        <v>46326</v>
      </c>
      <c r="B41" t="s">
        <v>152</v>
      </c>
      <c r="C41" t="s">
        <v>78</v>
      </c>
      <c r="D41" t="s">
        <v>79</v>
      </c>
      <c r="E41" t="s">
        <v>20</v>
      </c>
      <c r="F41" t="s">
        <v>153</v>
      </c>
      <c r="G41" t="s">
        <v>28</v>
      </c>
      <c r="H41" t="s">
        <v>21</v>
      </c>
      <c r="I41" t="s">
        <v>135</v>
      </c>
      <c r="J41">
        <v>3</v>
      </c>
      <c r="K41" s="5">
        <v>1999</v>
      </c>
      <c r="L41" s="4">
        <v>0.05</v>
      </c>
      <c r="M41" t="s">
        <v>123</v>
      </c>
      <c r="N41">
        <v>6</v>
      </c>
      <c r="O41">
        <v>4</v>
      </c>
      <c r="P41" s="5">
        <f t="shared" si="0"/>
        <v>5997</v>
      </c>
      <c r="Q41" s="5">
        <f t="shared" si="1"/>
        <v>5697.15</v>
      </c>
      <c r="R41" s="5">
        <f t="shared" si="2"/>
        <v>1538.2304999999999</v>
      </c>
    </row>
    <row r="42" spans="1:18">
      <c r="A42" s="3">
        <v>46345</v>
      </c>
      <c r="B42" t="s">
        <v>154</v>
      </c>
      <c r="C42" t="s">
        <v>18</v>
      </c>
      <c r="D42" t="s">
        <v>115</v>
      </c>
      <c r="E42" t="s">
        <v>36</v>
      </c>
      <c r="F42" t="s">
        <v>155</v>
      </c>
      <c r="G42" t="s">
        <v>28</v>
      </c>
      <c r="H42" t="s">
        <v>15</v>
      </c>
      <c r="I42" t="s">
        <v>69</v>
      </c>
      <c r="J42">
        <v>4</v>
      </c>
      <c r="K42" s="5">
        <v>899</v>
      </c>
      <c r="L42" s="4">
        <v>0.05</v>
      </c>
      <c r="M42" t="s">
        <v>91</v>
      </c>
      <c r="N42">
        <v>2</v>
      </c>
      <c r="O42">
        <v>4.5</v>
      </c>
      <c r="P42" s="5">
        <f t="shared" si="0"/>
        <v>3596</v>
      </c>
      <c r="Q42" s="5">
        <f t="shared" si="1"/>
        <v>3416.2</v>
      </c>
      <c r="R42" s="5">
        <f t="shared" si="2"/>
        <v>819.88799999999992</v>
      </c>
    </row>
    <row r="43" spans="1:18">
      <c r="A43" s="3">
        <v>46106</v>
      </c>
      <c r="B43" t="s">
        <v>156</v>
      </c>
      <c r="C43" t="s">
        <v>18</v>
      </c>
      <c r="D43" t="s">
        <v>115</v>
      </c>
      <c r="E43" t="s">
        <v>14</v>
      </c>
      <c r="F43" t="s">
        <v>108</v>
      </c>
      <c r="G43" t="s">
        <v>28</v>
      </c>
      <c r="H43" t="s">
        <v>15</v>
      </c>
      <c r="I43" t="s">
        <v>135</v>
      </c>
      <c r="J43">
        <v>2</v>
      </c>
      <c r="K43" s="5">
        <v>1999</v>
      </c>
      <c r="L43" s="4">
        <v>0.12</v>
      </c>
      <c r="M43" t="s">
        <v>81</v>
      </c>
      <c r="N43">
        <v>3</v>
      </c>
      <c r="O43">
        <v>4</v>
      </c>
      <c r="P43" s="5">
        <f t="shared" si="0"/>
        <v>3998</v>
      </c>
      <c r="Q43" s="5">
        <f t="shared" si="1"/>
        <v>3518.2400000000002</v>
      </c>
      <c r="R43" s="5">
        <f t="shared" si="2"/>
        <v>861.96879999999999</v>
      </c>
    </row>
    <row r="44" spans="1:18">
      <c r="A44" s="3">
        <v>46101</v>
      </c>
      <c r="B44" t="s">
        <v>157</v>
      </c>
      <c r="C44" t="s">
        <v>72</v>
      </c>
      <c r="D44" t="s">
        <v>73</v>
      </c>
      <c r="E44" t="s">
        <v>36</v>
      </c>
      <c r="F44" t="s">
        <v>129</v>
      </c>
      <c r="G44" t="s">
        <v>22</v>
      </c>
      <c r="H44" t="s">
        <v>15</v>
      </c>
      <c r="I44" t="s">
        <v>75</v>
      </c>
      <c r="J44">
        <v>1</v>
      </c>
      <c r="K44" s="5">
        <v>699</v>
      </c>
      <c r="L44" s="4">
        <v>0.05</v>
      </c>
      <c r="M44" t="s">
        <v>70</v>
      </c>
      <c r="N44">
        <v>3</v>
      </c>
      <c r="O44">
        <v>4</v>
      </c>
      <c r="P44" s="5">
        <f t="shared" si="0"/>
        <v>699</v>
      </c>
      <c r="Q44" s="5">
        <f t="shared" si="1"/>
        <v>664.05</v>
      </c>
      <c r="R44" s="5">
        <f t="shared" si="2"/>
        <v>166.01249999999999</v>
      </c>
    </row>
    <row r="45" spans="1:18">
      <c r="A45" s="3">
        <v>46083</v>
      </c>
      <c r="B45" t="s">
        <v>158</v>
      </c>
      <c r="C45" t="s">
        <v>41</v>
      </c>
      <c r="D45" t="s">
        <v>67</v>
      </c>
      <c r="E45" t="s">
        <v>32</v>
      </c>
      <c r="F45" t="s">
        <v>159</v>
      </c>
      <c r="G45" t="s">
        <v>16</v>
      </c>
      <c r="H45" t="s">
        <v>21</v>
      </c>
      <c r="I45" t="s">
        <v>96</v>
      </c>
      <c r="J45">
        <v>1</v>
      </c>
      <c r="K45" s="5">
        <v>2499</v>
      </c>
      <c r="L45" s="4">
        <v>0.1</v>
      </c>
      <c r="M45" t="s">
        <v>117</v>
      </c>
      <c r="N45">
        <v>2</v>
      </c>
      <c r="O45">
        <v>5</v>
      </c>
      <c r="P45" s="5">
        <f t="shared" si="0"/>
        <v>2499</v>
      </c>
      <c r="Q45" s="5">
        <f t="shared" si="1"/>
        <v>2249.1</v>
      </c>
      <c r="R45" s="5">
        <f t="shared" si="2"/>
        <v>573.52049999999997</v>
      </c>
    </row>
    <row r="46" spans="1:18">
      <c r="A46" s="3">
        <v>46067</v>
      </c>
      <c r="B46" t="s">
        <v>160</v>
      </c>
      <c r="C46" t="s">
        <v>47</v>
      </c>
      <c r="D46" t="s">
        <v>87</v>
      </c>
      <c r="E46" t="s">
        <v>26</v>
      </c>
      <c r="F46" t="s">
        <v>116</v>
      </c>
      <c r="G46" t="s">
        <v>16</v>
      </c>
      <c r="H46" t="s">
        <v>21</v>
      </c>
      <c r="I46" t="s">
        <v>96</v>
      </c>
      <c r="J46">
        <v>3</v>
      </c>
      <c r="K46" s="5">
        <v>899</v>
      </c>
      <c r="L46" s="4">
        <v>0.02</v>
      </c>
      <c r="M46" t="s">
        <v>117</v>
      </c>
      <c r="N46">
        <v>3</v>
      </c>
      <c r="O46">
        <v>5</v>
      </c>
      <c r="P46" s="5">
        <f t="shared" si="0"/>
        <v>2697</v>
      </c>
      <c r="Q46" s="5">
        <f t="shared" si="1"/>
        <v>2643.06</v>
      </c>
      <c r="R46" s="5">
        <f t="shared" si="2"/>
        <v>687.19560000000001</v>
      </c>
    </row>
    <row r="47" spans="1:18">
      <c r="A47" s="3">
        <v>46359</v>
      </c>
      <c r="B47" t="s">
        <v>161</v>
      </c>
      <c r="C47" t="s">
        <v>47</v>
      </c>
      <c r="D47" t="s">
        <v>87</v>
      </c>
      <c r="E47" t="s">
        <v>32</v>
      </c>
      <c r="F47" t="s">
        <v>125</v>
      </c>
      <c r="G47" t="s">
        <v>22</v>
      </c>
      <c r="H47" t="s">
        <v>15</v>
      </c>
      <c r="I47" t="s">
        <v>135</v>
      </c>
      <c r="J47">
        <v>1</v>
      </c>
      <c r="K47" s="5">
        <v>1299</v>
      </c>
      <c r="L47" s="4">
        <v>0.15</v>
      </c>
      <c r="M47" t="s">
        <v>117</v>
      </c>
      <c r="N47">
        <v>3</v>
      </c>
      <c r="O47">
        <v>5</v>
      </c>
      <c r="P47" s="5">
        <f t="shared" si="0"/>
        <v>1299</v>
      </c>
      <c r="Q47" s="5">
        <f t="shared" si="1"/>
        <v>1104.1499999999999</v>
      </c>
      <c r="R47" s="5">
        <f t="shared" si="2"/>
        <v>292.59974999999997</v>
      </c>
    </row>
    <row r="48" spans="1:18">
      <c r="A48" s="3">
        <v>46218</v>
      </c>
      <c r="B48" t="s">
        <v>162</v>
      </c>
      <c r="C48" t="s">
        <v>34</v>
      </c>
      <c r="D48" t="s">
        <v>120</v>
      </c>
      <c r="E48" t="s">
        <v>20</v>
      </c>
      <c r="F48" t="s">
        <v>106</v>
      </c>
      <c r="G48" t="s">
        <v>28</v>
      </c>
      <c r="H48" t="s">
        <v>15</v>
      </c>
      <c r="I48" t="s">
        <v>96</v>
      </c>
      <c r="J48">
        <v>3</v>
      </c>
      <c r="K48" s="5">
        <v>1799</v>
      </c>
      <c r="L48" s="4">
        <v>0.12</v>
      </c>
      <c r="M48" t="s">
        <v>85</v>
      </c>
      <c r="N48">
        <v>3</v>
      </c>
      <c r="O48">
        <v>3.5</v>
      </c>
      <c r="P48" s="5">
        <f t="shared" si="0"/>
        <v>5397</v>
      </c>
      <c r="Q48" s="5">
        <f t="shared" si="1"/>
        <v>4749.3599999999997</v>
      </c>
      <c r="R48" s="5">
        <f t="shared" si="2"/>
        <v>1282.3271999999999</v>
      </c>
    </row>
    <row r="49" spans="1:18">
      <c r="A49" s="3">
        <v>46159</v>
      </c>
      <c r="B49" t="s">
        <v>163</v>
      </c>
      <c r="C49" t="s">
        <v>47</v>
      </c>
      <c r="D49" t="s">
        <v>87</v>
      </c>
      <c r="E49" t="s">
        <v>26</v>
      </c>
      <c r="F49" t="s">
        <v>80</v>
      </c>
      <c r="G49" t="s">
        <v>16</v>
      </c>
      <c r="H49" t="s">
        <v>21</v>
      </c>
      <c r="I49" t="s">
        <v>109</v>
      </c>
      <c r="J49">
        <v>2</v>
      </c>
      <c r="K49" s="5">
        <v>1499</v>
      </c>
      <c r="L49" s="4">
        <v>0.05</v>
      </c>
      <c r="M49" t="s">
        <v>81</v>
      </c>
      <c r="N49">
        <v>3</v>
      </c>
      <c r="O49">
        <v>4.5</v>
      </c>
      <c r="P49" s="5">
        <f t="shared" si="0"/>
        <v>2998</v>
      </c>
      <c r="Q49" s="5">
        <f t="shared" si="1"/>
        <v>2848.1</v>
      </c>
      <c r="R49" s="5">
        <f t="shared" si="2"/>
        <v>683.54399999999998</v>
      </c>
    </row>
    <row r="50" spans="1:18">
      <c r="A50" s="3">
        <v>46347</v>
      </c>
      <c r="B50" t="s">
        <v>164</v>
      </c>
      <c r="C50" t="s">
        <v>44</v>
      </c>
      <c r="D50" t="s">
        <v>165</v>
      </c>
      <c r="E50" t="s">
        <v>32</v>
      </c>
      <c r="F50" t="s">
        <v>88</v>
      </c>
      <c r="G50" t="s">
        <v>28</v>
      </c>
      <c r="H50" t="s">
        <v>21</v>
      </c>
      <c r="I50" t="s">
        <v>135</v>
      </c>
      <c r="J50">
        <v>2</v>
      </c>
      <c r="K50" s="5">
        <v>799</v>
      </c>
      <c r="L50" s="4">
        <v>0.05</v>
      </c>
      <c r="M50" t="s">
        <v>81</v>
      </c>
      <c r="N50">
        <v>4</v>
      </c>
      <c r="O50">
        <v>5</v>
      </c>
      <c r="P50" s="5">
        <f t="shared" si="0"/>
        <v>1598</v>
      </c>
      <c r="Q50" s="5">
        <f t="shared" si="1"/>
        <v>1518.1</v>
      </c>
      <c r="R50" s="5">
        <f t="shared" si="2"/>
        <v>371.93449999999996</v>
      </c>
    </row>
    <row r="51" spans="1:18">
      <c r="A51" s="3">
        <v>46370</v>
      </c>
      <c r="B51" t="s">
        <v>166</v>
      </c>
      <c r="C51" t="s">
        <v>78</v>
      </c>
      <c r="D51" t="s">
        <v>79</v>
      </c>
      <c r="E51" t="s">
        <v>36</v>
      </c>
      <c r="F51" t="s">
        <v>68</v>
      </c>
      <c r="G51" t="s">
        <v>28</v>
      </c>
      <c r="H51" t="s">
        <v>21</v>
      </c>
      <c r="I51" t="s">
        <v>75</v>
      </c>
      <c r="J51">
        <v>1</v>
      </c>
      <c r="K51" s="5">
        <v>599</v>
      </c>
      <c r="L51" s="4">
        <v>0.05</v>
      </c>
      <c r="M51" t="s">
        <v>70</v>
      </c>
      <c r="N51">
        <v>4</v>
      </c>
      <c r="O51">
        <v>3</v>
      </c>
      <c r="P51" s="5">
        <f t="shared" si="0"/>
        <v>599</v>
      </c>
      <c r="Q51" s="5">
        <f t="shared" si="1"/>
        <v>569.04999999999995</v>
      </c>
      <c r="R51" s="5">
        <f t="shared" si="2"/>
        <v>142.26249999999999</v>
      </c>
    </row>
    <row r="52" spans="1:18">
      <c r="A52" s="3">
        <v>46309</v>
      </c>
      <c r="B52" t="s">
        <v>167</v>
      </c>
      <c r="C52" t="s">
        <v>93</v>
      </c>
      <c r="D52" t="s">
        <v>94</v>
      </c>
      <c r="E52" t="s">
        <v>26</v>
      </c>
      <c r="F52" t="s">
        <v>80</v>
      </c>
      <c r="G52" t="s">
        <v>28</v>
      </c>
      <c r="H52" t="s">
        <v>21</v>
      </c>
      <c r="I52" t="s">
        <v>96</v>
      </c>
      <c r="J52">
        <v>1</v>
      </c>
      <c r="K52" s="5">
        <v>1499</v>
      </c>
      <c r="L52" s="4">
        <v>0.12</v>
      </c>
      <c r="M52" t="s">
        <v>76</v>
      </c>
      <c r="N52">
        <v>3</v>
      </c>
      <c r="O52">
        <v>3</v>
      </c>
      <c r="P52" s="5">
        <f t="shared" si="0"/>
        <v>1499</v>
      </c>
      <c r="Q52" s="5">
        <f t="shared" si="1"/>
        <v>1319.1200000000001</v>
      </c>
      <c r="R52" s="5">
        <f t="shared" si="2"/>
        <v>336.37560000000002</v>
      </c>
    </row>
    <row r="53" spans="1:18">
      <c r="A53" s="3">
        <v>46135</v>
      </c>
      <c r="B53" t="s">
        <v>168</v>
      </c>
      <c r="C53" t="s">
        <v>78</v>
      </c>
      <c r="D53" t="s">
        <v>79</v>
      </c>
      <c r="E53" t="s">
        <v>14</v>
      </c>
      <c r="F53" t="s">
        <v>139</v>
      </c>
      <c r="G53" t="s">
        <v>16</v>
      </c>
      <c r="H53" t="s">
        <v>21</v>
      </c>
      <c r="I53" t="s">
        <v>69</v>
      </c>
      <c r="J53">
        <v>1</v>
      </c>
      <c r="K53" s="5">
        <v>2999</v>
      </c>
      <c r="L53" s="4">
        <v>0.15</v>
      </c>
      <c r="M53" t="s">
        <v>85</v>
      </c>
      <c r="N53">
        <v>4</v>
      </c>
      <c r="O53">
        <v>4</v>
      </c>
      <c r="P53" s="5">
        <f t="shared" si="0"/>
        <v>2999</v>
      </c>
      <c r="Q53" s="5">
        <f t="shared" si="1"/>
        <v>2549.15</v>
      </c>
      <c r="R53" s="5">
        <f t="shared" si="2"/>
        <v>662.779</v>
      </c>
    </row>
    <row r="54" spans="1:18">
      <c r="A54" s="3">
        <v>46307</v>
      </c>
      <c r="B54" t="s">
        <v>169</v>
      </c>
      <c r="C54" t="s">
        <v>93</v>
      </c>
      <c r="D54" t="s">
        <v>94</v>
      </c>
      <c r="E54" t="s">
        <v>20</v>
      </c>
      <c r="F54" t="s">
        <v>111</v>
      </c>
      <c r="G54" t="s">
        <v>16</v>
      </c>
      <c r="H54" t="s">
        <v>21</v>
      </c>
      <c r="I54" t="s">
        <v>109</v>
      </c>
      <c r="J54">
        <v>3</v>
      </c>
      <c r="K54" s="5">
        <v>2799</v>
      </c>
      <c r="L54" s="4">
        <v>0</v>
      </c>
      <c r="M54" t="s">
        <v>76</v>
      </c>
      <c r="N54">
        <v>2</v>
      </c>
      <c r="O54">
        <v>4.5</v>
      </c>
      <c r="P54" s="5">
        <f t="shared" si="0"/>
        <v>8397</v>
      </c>
      <c r="Q54" s="5">
        <f t="shared" si="1"/>
        <v>8397</v>
      </c>
      <c r="R54" s="5">
        <f t="shared" si="2"/>
        <v>2225.2049999999999</v>
      </c>
    </row>
    <row r="55" spans="1:18">
      <c r="A55" s="3">
        <v>46384</v>
      </c>
      <c r="B55" t="s">
        <v>170</v>
      </c>
      <c r="C55" t="s">
        <v>38</v>
      </c>
      <c r="D55" t="s">
        <v>83</v>
      </c>
      <c r="E55" t="s">
        <v>14</v>
      </c>
      <c r="F55" t="s">
        <v>108</v>
      </c>
      <c r="G55" t="s">
        <v>28</v>
      </c>
      <c r="H55" t="s">
        <v>27</v>
      </c>
      <c r="I55" t="s">
        <v>69</v>
      </c>
      <c r="J55">
        <v>1</v>
      </c>
      <c r="K55" s="5">
        <v>1999</v>
      </c>
      <c r="L55" s="4">
        <v>0.1</v>
      </c>
      <c r="M55" t="s">
        <v>123</v>
      </c>
      <c r="N55">
        <v>2</v>
      </c>
      <c r="O55">
        <v>4</v>
      </c>
      <c r="P55" s="5">
        <f t="shared" si="0"/>
        <v>1999</v>
      </c>
      <c r="Q55" s="5">
        <f t="shared" si="1"/>
        <v>1799.1000000000001</v>
      </c>
      <c r="R55" s="5">
        <f t="shared" si="2"/>
        <v>485.75700000000006</v>
      </c>
    </row>
    <row r="56" spans="1:18">
      <c r="A56" s="3">
        <v>46237</v>
      </c>
      <c r="B56" t="s">
        <v>171</v>
      </c>
      <c r="C56" t="s">
        <v>18</v>
      </c>
      <c r="D56" t="s">
        <v>115</v>
      </c>
      <c r="E56" t="s">
        <v>20</v>
      </c>
      <c r="F56" t="s">
        <v>111</v>
      </c>
      <c r="G56" t="s">
        <v>22</v>
      </c>
      <c r="H56" t="s">
        <v>27</v>
      </c>
      <c r="I56" t="s">
        <v>135</v>
      </c>
      <c r="J56">
        <v>2</v>
      </c>
      <c r="K56" s="5">
        <v>2799</v>
      </c>
      <c r="L56" s="4">
        <v>0.02</v>
      </c>
      <c r="M56" t="s">
        <v>117</v>
      </c>
      <c r="N56">
        <v>3</v>
      </c>
      <c r="O56">
        <v>4.5</v>
      </c>
      <c r="P56" s="5">
        <f t="shared" si="0"/>
        <v>5598</v>
      </c>
      <c r="Q56" s="5">
        <f t="shared" si="1"/>
        <v>5486.04</v>
      </c>
      <c r="R56" s="5">
        <f t="shared" si="2"/>
        <v>1316.6496</v>
      </c>
    </row>
    <row r="57" spans="1:18">
      <c r="A57" s="3">
        <v>46153</v>
      </c>
      <c r="B57" t="s">
        <v>172</v>
      </c>
      <c r="C57" t="s">
        <v>47</v>
      </c>
      <c r="D57" t="s">
        <v>87</v>
      </c>
      <c r="E57" t="s">
        <v>26</v>
      </c>
      <c r="F57" t="s">
        <v>116</v>
      </c>
      <c r="G57" t="s">
        <v>16</v>
      </c>
      <c r="H57" t="s">
        <v>15</v>
      </c>
      <c r="I57" t="s">
        <v>96</v>
      </c>
      <c r="J57">
        <v>1</v>
      </c>
      <c r="K57" s="5">
        <v>899</v>
      </c>
      <c r="L57" s="4">
        <v>7.0000000000000007E-2</v>
      </c>
      <c r="M57" t="s">
        <v>117</v>
      </c>
      <c r="N57">
        <v>3</v>
      </c>
      <c r="O57">
        <v>5</v>
      </c>
      <c r="P57" s="5">
        <f t="shared" si="0"/>
        <v>899</v>
      </c>
      <c r="Q57" s="5">
        <f t="shared" si="1"/>
        <v>836.06999999999994</v>
      </c>
      <c r="R57" s="5">
        <f t="shared" si="2"/>
        <v>204.83714999999998</v>
      </c>
    </row>
    <row r="58" spans="1:18">
      <c r="A58" s="3">
        <v>46124</v>
      </c>
      <c r="B58" t="s">
        <v>173</v>
      </c>
      <c r="C58" t="s">
        <v>41</v>
      </c>
      <c r="D58" t="s">
        <v>67</v>
      </c>
      <c r="E58" t="s">
        <v>26</v>
      </c>
      <c r="F58" t="s">
        <v>113</v>
      </c>
      <c r="G58" t="s">
        <v>22</v>
      </c>
      <c r="H58" t="s">
        <v>15</v>
      </c>
      <c r="I58" t="s">
        <v>69</v>
      </c>
      <c r="J58">
        <v>3</v>
      </c>
      <c r="K58" s="5">
        <v>2299</v>
      </c>
      <c r="L58" s="4">
        <v>7.0000000000000007E-2</v>
      </c>
      <c r="M58" t="s">
        <v>91</v>
      </c>
      <c r="N58">
        <v>5</v>
      </c>
      <c r="O58">
        <v>5</v>
      </c>
      <c r="P58" s="5">
        <f t="shared" si="0"/>
        <v>6897</v>
      </c>
      <c r="Q58" s="5">
        <f t="shared" si="1"/>
        <v>6414.2099999999991</v>
      </c>
      <c r="R58" s="5">
        <f t="shared" si="2"/>
        <v>1603.5524999999998</v>
      </c>
    </row>
    <row r="59" spans="1:18">
      <c r="A59" s="3">
        <v>46353</v>
      </c>
      <c r="B59" t="s">
        <v>174</v>
      </c>
      <c r="C59" t="s">
        <v>78</v>
      </c>
      <c r="D59" t="s">
        <v>79</v>
      </c>
      <c r="E59" t="s">
        <v>36</v>
      </c>
      <c r="F59" t="s">
        <v>68</v>
      </c>
      <c r="G59" t="s">
        <v>22</v>
      </c>
      <c r="H59" t="s">
        <v>27</v>
      </c>
      <c r="I59" t="s">
        <v>75</v>
      </c>
      <c r="J59">
        <v>3</v>
      </c>
      <c r="K59" s="5">
        <v>599</v>
      </c>
      <c r="L59" s="4">
        <v>0.05</v>
      </c>
      <c r="M59" t="s">
        <v>117</v>
      </c>
      <c r="N59">
        <v>3</v>
      </c>
      <c r="O59">
        <v>4.5</v>
      </c>
      <c r="P59" s="5">
        <f t="shared" si="0"/>
        <v>1797</v>
      </c>
      <c r="Q59" s="5">
        <f t="shared" si="1"/>
        <v>1707.1499999999999</v>
      </c>
      <c r="R59" s="5">
        <f t="shared" si="2"/>
        <v>435.32324999999997</v>
      </c>
    </row>
    <row r="60" spans="1:18">
      <c r="A60" s="3">
        <v>46207</v>
      </c>
      <c r="B60" t="s">
        <v>175</v>
      </c>
      <c r="C60" t="s">
        <v>30</v>
      </c>
      <c r="D60" t="s">
        <v>144</v>
      </c>
      <c r="E60" t="s">
        <v>14</v>
      </c>
      <c r="F60" t="s">
        <v>108</v>
      </c>
      <c r="G60" t="s">
        <v>22</v>
      </c>
      <c r="H60" t="s">
        <v>27</v>
      </c>
      <c r="I60" t="s">
        <v>69</v>
      </c>
      <c r="J60">
        <v>3</v>
      </c>
      <c r="K60" s="5">
        <v>1999</v>
      </c>
      <c r="L60" s="4">
        <v>0.02</v>
      </c>
      <c r="M60" t="s">
        <v>70</v>
      </c>
      <c r="N60">
        <v>4</v>
      </c>
      <c r="O60">
        <v>5</v>
      </c>
      <c r="P60" s="5">
        <f t="shared" si="0"/>
        <v>5997</v>
      </c>
      <c r="Q60" s="5">
        <f t="shared" si="1"/>
        <v>5877.0599999999995</v>
      </c>
      <c r="R60" s="5">
        <f t="shared" si="2"/>
        <v>1528.0355999999999</v>
      </c>
    </row>
    <row r="61" spans="1:18">
      <c r="A61" s="3">
        <v>46132</v>
      </c>
      <c r="B61" t="s">
        <v>176</v>
      </c>
      <c r="C61" t="s">
        <v>18</v>
      </c>
      <c r="D61" t="s">
        <v>115</v>
      </c>
      <c r="E61" t="s">
        <v>32</v>
      </c>
      <c r="F61" t="s">
        <v>74</v>
      </c>
      <c r="G61" t="s">
        <v>28</v>
      </c>
      <c r="H61" t="s">
        <v>15</v>
      </c>
      <c r="I61" t="s">
        <v>69</v>
      </c>
      <c r="J61">
        <v>1</v>
      </c>
      <c r="K61" s="5">
        <v>1899</v>
      </c>
      <c r="L61" s="4">
        <v>0.1</v>
      </c>
      <c r="M61" t="s">
        <v>97</v>
      </c>
      <c r="N61">
        <v>5</v>
      </c>
      <c r="O61">
        <v>4</v>
      </c>
      <c r="P61" s="5">
        <f t="shared" si="0"/>
        <v>1899</v>
      </c>
      <c r="Q61" s="5">
        <f t="shared" si="1"/>
        <v>1709.1000000000001</v>
      </c>
      <c r="R61" s="5">
        <f t="shared" si="2"/>
        <v>452.91150000000005</v>
      </c>
    </row>
    <row r="62" spans="1:18">
      <c r="A62" s="3">
        <v>46273</v>
      </c>
      <c r="B62" t="s">
        <v>177</v>
      </c>
      <c r="C62" t="s">
        <v>30</v>
      </c>
      <c r="D62" t="s">
        <v>144</v>
      </c>
      <c r="E62" t="s">
        <v>36</v>
      </c>
      <c r="F62" t="s">
        <v>103</v>
      </c>
      <c r="G62" t="s">
        <v>22</v>
      </c>
      <c r="H62" t="s">
        <v>27</v>
      </c>
      <c r="I62" t="s">
        <v>69</v>
      </c>
      <c r="J62">
        <v>1</v>
      </c>
      <c r="K62" s="5">
        <v>499</v>
      </c>
      <c r="L62" s="4">
        <v>0.12</v>
      </c>
      <c r="M62" t="s">
        <v>97</v>
      </c>
      <c r="N62">
        <v>2</v>
      </c>
      <c r="O62">
        <v>4.5</v>
      </c>
      <c r="P62" s="5">
        <f t="shared" si="0"/>
        <v>499</v>
      </c>
      <c r="Q62" s="5">
        <f t="shared" si="1"/>
        <v>439.12</v>
      </c>
      <c r="R62" s="5">
        <f t="shared" si="2"/>
        <v>118.56240000000001</v>
      </c>
    </row>
    <row r="63" spans="1:18">
      <c r="A63" s="3">
        <v>46101</v>
      </c>
      <c r="B63" t="s">
        <v>178</v>
      </c>
      <c r="C63" t="s">
        <v>93</v>
      </c>
      <c r="D63" t="s">
        <v>94</v>
      </c>
      <c r="E63" t="s">
        <v>20</v>
      </c>
      <c r="F63" t="s">
        <v>153</v>
      </c>
      <c r="G63" t="s">
        <v>28</v>
      </c>
      <c r="H63" t="s">
        <v>27</v>
      </c>
      <c r="I63" t="s">
        <v>75</v>
      </c>
      <c r="J63">
        <v>3</v>
      </c>
      <c r="K63" s="5">
        <v>1999</v>
      </c>
      <c r="L63" s="4">
        <v>0.15</v>
      </c>
      <c r="M63" t="s">
        <v>91</v>
      </c>
      <c r="N63">
        <v>3</v>
      </c>
      <c r="O63">
        <v>4</v>
      </c>
      <c r="P63" s="5">
        <f t="shared" si="0"/>
        <v>5997</v>
      </c>
      <c r="Q63" s="5">
        <f t="shared" si="1"/>
        <v>5097.45</v>
      </c>
      <c r="R63" s="5">
        <f t="shared" si="2"/>
        <v>1223.3879999999999</v>
      </c>
    </row>
    <row r="64" spans="1:18">
      <c r="A64" s="3">
        <v>46114</v>
      </c>
      <c r="B64" t="s">
        <v>179</v>
      </c>
      <c r="C64" t="s">
        <v>30</v>
      </c>
      <c r="D64" t="s">
        <v>144</v>
      </c>
      <c r="E64" t="s">
        <v>26</v>
      </c>
      <c r="F64" t="s">
        <v>113</v>
      </c>
      <c r="G64" t="s">
        <v>22</v>
      </c>
      <c r="H64" t="s">
        <v>15</v>
      </c>
      <c r="I64" t="s">
        <v>109</v>
      </c>
      <c r="J64">
        <v>2</v>
      </c>
      <c r="K64" s="5">
        <v>2299</v>
      </c>
      <c r="L64" s="4">
        <v>0.02</v>
      </c>
      <c r="M64" t="s">
        <v>91</v>
      </c>
      <c r="N64">
        <v>4</v>
      </c>
      <c r="O64">
        <v>4.5</v>
      </c>
      <c r="P64" s="5">
        <f t="shared" si="0"/>
        <v>4598</v>
      </c>
      <c r="Q64" s="5">
        <f t="shared" si="1"/>
        <v>4506.04</v>
      </c>
      <c r="R64" s="5">
        <f t="shared" si="2"/>
        <v>1103.9798000000001</v>
      </c>
    </row>
    <row r="65" spans="1:18">
      <c r="A65" s="3">
        <v>46234</v>
      </c>
      <c r="B65" t="s">
        <v>180</v>
      </c>
      <c r="C65" t="s">
        <v>78</v>
      </c>
      <c r="D65" t="s">
        <v>79</v>
      </c>
      <c r="E65" t="s">
        <v>36</v>
      </c>
      <c r="F65" t="s">
        <v>155</v>
      </c>
      <c r="G65" t="s">
        <v>22</v>
      </c>
      <c r="H65" t="s">
        <v>15</v>
      </c>
      <c r="I65" t="s">
        <v>69</v>
      </c>
      <c r="J65">
        <v>4</v>
      </c>
      <c r="K65" s="5">
        <v>899</v>
      </c>
      <c r="L65" s="4">
        <v>0</v>
      </c>
      <c r="M65" t="s">
        <v>117</v>
      </c>
      <c r="N65">
        <v>5</v>
      </c>
      <c r="O65">
        <v>3.5</v>
      </c>
      <c r="P65" s="5">
        <f t="shared" si="0"/>
        <v>3596</v>
      </c>
      <c r="Q65" s="5">
        <f t="shared" si="1"/>
        <v>3596</v>
      </c>
      <c r="R65" s="5">
        <f t="shared" si="2"/>
        <v>899</v>
      </c>
    </row>
    <row r="66" spans="1:18">
      <c r="A66" s="3">
        <v>46371</v>
      </c>
      <c r="B66" t="s">
        <v>181</v>
      </c>
      <c r="C66" t="s">
        <v>93</v>
      </c>
      <c r="D66" t="s">
        <v>94</v>
      </c>
      <c r="E66" t="s">
        <v>32</v>
      </c>
      <c r="F66" t="s">
        <v>74</v>
      </c>
      <c r="G66" t="s">
        <v>28</v>
      </c>
      <c r="H66" t="s">
        <v>27</v>
      </c>
      <c r="I66" t="s">
        <v>75</v>
      </c>
      <c r="J66">
        <v>4</v>
      </c>
      <c r="K66" s="5">
        <v>1899</v>
      </c>
      <c r="L66" s="4">
        <v>0.02</v>
      </c>
      <c r="M66" t="s">
        <v>76</v>
      </c>
      <c r="N66">
        <v>1</v>
      </c>
      <c r="O66">
        <v>3.5</v>
      </c>
      <c r="P66" s="5">
        <f t="shared" ref="P66:P129" si="3">J66*K66</f>
        <v>7596</v>
      </c>
      <c r="Q66" s="5">
        <f t="shared" ref="Q66:Q129" si="4">P66*(1-L66)</f>
        <v>7444.08</v>
      </c>
      <c r="R66" s="5">
        <f t="shared" ref="R66:R129" si="5">Q66*(0.24+MOD(ROW(),7)*0.005)</f>
        <v>1898.2403999999999</v>
      </c>
    </row>
    <row r="67" spans="1:18">
      <c r="A67" s="3">
        <v>46323</v>
      </c>
      <c r="B67" t="s">
        <v>182</v>
      </c>
      <c r="C67" t="s">
        <v>93</v>
      </c>
      <c r="D67" t="s">
        <v>94</v>
      </c>
      <c r="E67" t="s">
        <v>26</v>
      </c>
      <c r="F67" t="s">
        <v>116</v>
      </c>
      <c r="G67" t="s">
        <v>28</v>
      </c>
      <c r="H67" t="s">
        <v>15</v>
      </c>
      <c r="I67" t="s">
        <v>75</v>
      </c>
      <c r="J67">
        <v>3</v>
      </c>
      <c r="K67" s="5">
        <v>899</v>
      </c>
      <c r="L67" s="4">
        <v>0.02</v>
      </c>
      <c r="M67" t="s">
        <v>70</v>
      </c>
      <c r="N67">
        <v>4</v>
      </c>
      <c r="O67">
        <v>4</v>
      </c>
      <c r="P67" s="5">
        <f t="shared" si="3"/>
        <v>2697</v>
      </c>
      <c r="Q67" s="5">
        <f t="shared" si="4"/>
        <v>2643.06</v>
      </c>
      <c r="R67" s="5">
        <f t="shared" si="5"/>
        <v>687.19560000000001</v>
      </c>
    </row>
    <row r="68" spans="1:18">
      <c r="A68" s="3">
        <v>46110</v>
      </c>
      <c r="B68" t="s">
        <v>183</v>
      </c>
      <c r="C68" t="s">
        <v>34</v>
      </c>
      <c r="D68" t="s">
        <v>120</v>
      </c>
      <c r="E68" t="s">
        <v>20</v>
      </c>
      <c r="F68" t="s">
        <v>106</v>
      </c>
      <c r="G68" t="s">
        <v>28</v>
      </c>
      <c r="H68" t="s">
        <v>21</v>
      </c>
      <c r="I68" t="s">
        <v>96</v>
      </c>
      <c r="J68">
        <v>1</v>
      </c>
      <c r="K68" s="5">
        <v>1799</v>
      </c>
      <c r="L68" s="4">
        <v>0.02</v>
      </c>
      <c r="M68" t="s">
        <v>76</v>
      </c>
      <c r="N68">
        <v>5</v>
      </c>
      <c r="O68">
        <v>4.5</v>
      </c>
      <c r="P68" s="5">
        <f t="shared" si="3"/>
        <v>1799</v>
      </c>
      <c r="Q68" s="5">
        <f t="shared" si="4"/>
        <v>1763.02</v>
      </c>
      <c r="R68" s="5">
        <f t="shared" si="5"/>
        <v>467.20030000000003</v>
      </c>
    </row>
    <row r="69" spans="1:18">
      <c r="A69" s="3">
        <v>46181</v>
      </c>
      <c r="B69" t="s">
        <v>184</v>
      </c>
      <c r="C69" t="s">
        <v>78</v>
      </c>
      <c r="D69" t="s">
        <v>79</v>
      </c>
      <c r="E69" t="s">
        <v>32</v>
      </c>
      <c r="F69" t="s">
        <v>90</v>
      </c>
      <c r="G69" t="s">
        <v>16</v>
      </c>
      <c r="H69" t="s">
        <v>27</v>
      </c>
      <c r="I69" t="s">
        <v>109</v>
      </c>
      <c r="J69">
        <v>2</v>
      </c>
      <c r="K69" s="5">
        <v>1599</v>
      </c>
      <c r="L69" s="4">
        <v>0</v>
      </c>
      <c r="M69" t="s">
        <v>81</v>
      </c>
      <c r="N69">
        <v>4</v>
      </c>
      <c r="O69">
        <v>4</v>
      </c>
      <c r="P69" s="5">
        <f t="shared" si="3"/>
        <v>3198</v>
      </c>
      <c r="Q69" s="5">
        <f t="shared" si="4"/>
        <v>3198</v>
      </c>
      <c r="R69" s="5">
        <f t="shared" si="5"/>
        <v>863.46</v>
      </c>
    </row>
    <row r="70" spans="1:18">
      <c r="A70" s="3">
        <v>46370</v>
      </c>
      <c r="B70" t="s">
        <v>185</v>
      </c>
      <c r="C70" t="s">
        <v>72</v>
      </c>
      <c r="D70" t="s">
        <v>73</v>
      </c>
      <c r="E70" t="s">
        <v>20</v>
      </c>
      <c r="F70" t="s">
        <v>133</v>
      </c>
      <c r="G70" t="s">
        <v>22</v>
      </c>
      <c r="H70" t="s">
        <v>15</v>
      </c>
      <c r="I70" t="s">
        <v>96</v>
      </c>
      <c r="J70">
        <v>1</v>
      </c>
      <c r="K70" s="5">
        <v>3499</v>
      </c>
      <c r="L70" s="4">
        <v>0.12</v>
      </c>
      <c r="M70" t="s">
        <v>91</v>
      </c>
      <c r="N70">
        <v>4</v>
      </c>
      <c r="O70">
        <v>4</v>
      </c>
      <c r="P70" s="5">
        <f t="shared" si="3"/>
        <v>3499</v>
      </c>
      <c r="Q70" s="5">
        <f t="shared" si="4"/>
        <v>3079.12</v>
      </c>
      <c r="R70" s="5">
        <f t="shared" si="5"/>
        <v>738.98879999999997</v>
      </c>
    </row>
    <row r="71" spans="1:18">
      <c r="A71" s="3">
        <v>46347</v>
      </c>
      <c r="B71" t="s">
        <v>186</v>
      </c>
      <c r="C71" t="s">
        <v>38</v>
      </c>
      <c r="D71" t="s">
        <v>83</v>
      </c>
      <c r="E71" t="s">
        <v>26</v>
      </c>
      <c r="F71" t="s">
        <v>116</v>
      </c>
      <c r="G71" t="s">
        <v>28</v>
      </c>
      <c r="H71" t="s">
        <v>21</v>
      </c>
      <c r="I71" t="s">
        <v>135</v>
      </c>
      <c r="J71">
        <v>1</v>
      </c>
      <c r="K71" s="5">
        <v>899</v>
      </c>
      <c r="L71" s="4">
        <v>7.0000000000000007E-2</v>
      </c>
      <c r="M71" t="s">
        <v>117</v>
      </c>
      <c r="N71">
        <v>3</v>
      </c>
      <c r="O71">
        <v>3.5</v>
      </c>
      <c r="P71" s="5">
        <f t="shared" si="3"/>
        <v>899</v>
      </c>
      <c r="Q71" s="5">
        <f t="shared" si="4"/>
        <v>836.06999999999994</v>
      </c>
      <c r="R71" s="5">
        <f t="shared" si="5"/>
        <v>204.83714999999998</v>
      </c>
    </row>
    <row r="72" spans="1:18">
      <c r="A72" s="3">
        <v>46096</v>
      </c>
      <c r="B72" t="s">
        <v>187</v>
      </c>
      <c r="C72" t="s">
        <v>131</v>
      </c>
      <c r="D72" t="s">
        <v>132</v>
      </c>
      <c r="E72" t="s">
        <v>20</v>
      </c>
      <c r="F72" t="s">
        <v>188</v>
      </c>
      <c r="G72" t="s">
        <v>28</v>
      </c>
      <c r="H72" t="s">
        <v>27</v>
      </c>
      <c r="I72" t="s">
        <v>75</v>
      </c>
      <c r="J72">
        <v>2</v>
      </c>
      <c r="K72" s="5">
        <v>2999</v>
      </c>
      <c r="L72" s="4">
        <v>0.1</v>
      </c>
      <c r="M72" t="s">
        <v>117</v>
      </c>
      <c r="N72">
        <v>4</v>
      </c>
      <c r="O72">
        <v>5</v>
      </c>
      <c r="P72" s="5">
        <f t="shared" si="3"/>
        <v>5998</v>
      </c>
      <c r="Q72" s="5">
        <f t="shared" si="4"/>
        <v>5398.2</v>
      </c>
      <c r="R72" s="5">
        <f t="shared" si="5"/>
        <v>1349.55</v>
      </c>
    </row>
    <row r="73" spans="1:18">
      <c r="A73" s="3">
        <v>46063</v>
      </c>
      <c r="B73" t="s">
        <v>189</v>
      </c>
      <c r="C73" t="s">
        <v>47</v>
      </c>
      <c r="D73" t="s">
        <v>87</v>
      </c>
      <c r="E73" t="s">
        <v>32</v>
      </c>
      <c r="F73" t="s">
        <v>125</v>
      </c>
      <c r="G73" t="s">
        <v>28</v>
      </c>
      <c r="H73" t="s">
        <v>27</v>
      </c>
      <c r="I73" t="s">
        <v>75</v>
      </c>
      <c r="J73">
        <v>2</v>
      </c>
      <c r="K73" s="5">
        <v>1299</v>
      </c>
      <c r="L73" s="4">
        <v>0.15</v>
      </c>
      <c r="M73" t="s">
        <v>85</v>
      </c>
      <c r="N73">
        <v>3</v>
      </c>
      <c r="O73">
        <v>3.5</v>
      </c>
      <c r="P73" s="5">
        <f t="shared" si="3"/>
        <v>2598</v>
      </c>
      <c r="Q73" s="5">
        <f t="shared" si="4"/>
        <v>2208.2999999999997</v>
      </c>
      <c r="R73" s="5">
        <f t="shared" si="5"/>
        <v>563.11649999999997</v>
      </c>
    </row>
    <row r="74" spans="1:18">
      <c r="A74" s="3">
        <v>46044</v>
      </c>
      <c r="B74" t="s">
        <v>190</v>
      </c>
      <c r="C74" t="s">
        <v>24</v>
      </c>
      <c r="D74" t="s">
        <v>105</v>
      </c>
      <c r="E74" t="s">
        <v>36</v>
      </c>
      <c r="F74" t="s">
        <v>155</v>
      </c>
      <c r="G74" t="s">
        <v>28</v>
      </c>
      <c r="H74" t="s">
        <v>27</v>
      </c>
      <c r="I74" t="s">
        <v>96</v>
      </c>
      <c r="J74">
        <v>2</v>
      </c>
      <c r="K74" s="5">
        <v>899</v>
      </c>
      <c r="L74" s="4">
        <v>7.0000000000000007E-2</v>
      </c>
      <c r="M74" t="s">
        <v>76</v>
      </c>
      <c r="N74">
        <v>4</v>
      </c>
      <c r="O74">
        <v>4</v>
      </c>
      <c r="P74" s="5">
        <f t="shared" si="3"/>
        <v>1798</v>
      </c>
      <c r="Q74" s="5">
        <f t="shared" si="4"/>
        <v>1672.1399999999999</v>
      </c>
      <c r="R74" s="5">
        <f t="shared" si="5"/>
        <v>434.75639999999999</v>
      </c>
    </row>
    <row r="75" spans="1:18">
      <c r="A75" s="3">
        <v>46186</v>
      </c>
      <c r="B75" t="s">
        <v>191</v>
      </c>
      <c r="C75" t="s">
        <v>30</v>
      </c>
      <c r="D75" t="s">
        <v>144</v>
      </c>
      <c r="E75" t="s">
        <v>14</v>
      </c>
      <c r="F75" t="s">
        <v>192</v>
      </c>
      <c r="G75" t="s">
        <v>28</v>
      </c>
      <c r="H75" t="s">
        <v>21</v>
      </c>
      <c r="I75" t="s">
        <v>75</v>
      </c>
      <c r="J75">
        <v>1</v>
      </c>
      <c r="K75" s="5">
        <v>2499</v>
      </c>
      <c r="L75" s="4">
        <v>0.02</v>
      </c>
      <c r="M75" t="s">
        <v>91</v>
      </c>
      <c r="N75">
        <v>4</v>
      </c>
      <c r="O75">
        <v>3.5</v>
      </c>
      <c r="P75" s="5">
        <f t="shared" si="3"/>
        <v>2499</v>
      </c>
      <c r="Q75" s="5">
        <f t="shared" si="4"/>
        <v>2449.02</v>
      </c>
      <c r="R75" s="5">
        <f t="shared" si="5"/>
        <v>648.99030000000005</v>
      </c>
    </row>
    <row r="76" spans="1:18">
      <c r="A76" s="3">
        <v>46331</v>
      </c>
      <c r="B76" t="s">
        <v>193</v>
      </c>
      <c r="C76" t="s">
        <v>131</v>
      </c>
      <c r="D76" t="s">
        <v>132</v>
      </c>
      <c r="E76" t="s">
        <v>14</v>
      </c>
      <c r="F76" t="s">
        <v>139</v>
      </c>
      <c r="G76" t="s">
        <v>22</v>
      </c>
      <c r="H76" t="s">
        <v>15</v>
      </c>
      <c r="I76" t="s">
        <v>135</v>
      </c>
      <c r="J76">
        <v>2</v>
      </c>
      <c r="K76" s="5">
        <v>2999</v>
      </c>
      <c r="L76" s="4">
        <v>0.05</v>
      </c>
      <c r="M76" t="s">
        <v>76</v>
      </c>
      <c r="N76">
        <v>4</v>
      </c>
      <c r="O76">
        <v>4</v>
      </c>
      <c r="P76" s="5">
        <f t="shared" si="3"/>
        <v>5998</v>
      </c>
      <c r="Q76" s="5">
        <f t="shared" si="4"/>
        <v>5698.0999999999995</v>
      </c>
      <c r="R76" s="5">
        <f t="shared" si="5"/>
        <v>1538.4869999999999</v>
      </c>
    </row>
    <row r="77" spans="1:18">
      <c r="A77" s="3">
        <v>46286</v>
      </c>
      <c r="B77" t="s">
        <v>194</v>
      </c>
      <c r="C77" t="s">
        <v>41</v>
      </c>
      <c r="D77" t="s">
        <v>67</v>
      </c>
      <c r="E77" t="s">
        <v>32</v>
      </c>
      <c r="F77" t="s">
        <v>88</v>
      </c>
      <c r="G77" t="s">
        <v>16</v>
      </c>
      <c r="H77" t="s">
        <v>21</v>
      </c>
      <c r="I77" t="s">
        <v>109</v>
      </c>
      <c r="J77">
        <v>2</v>
      </c>
      <c r="K77" s="5">
        <v>799</v>
      </c>
      <c r="L77" s="4">
        <v>0.1</v>
      </c>
      <c r="M77" t="s">
        <v>81</v>
      </c>
      <c r="N77">
        <v>4</v>
      </c>
      <c r="O77">
        <v>4.5</v>
      </c>
      <c r="P77" s="5">
        <f t="shared" si="3"/>
        <v>1598</v>
      </c>
      <c r="Q77" s="5">
        <f t="shared" si="4"/>
        <v>1438.2</v>
      </c>
      <c r="R77" s="5">
        <f t="shared" si="5"/>
        <v>345.16800000000001</v>
      </c>
    </row>
    <row r="78" spans="1:18">
      <c r="A78" s="3">
        <v>46270</v>
      </c>
      <c r="B78" t="s">
        <v>195</v>
      </c>
      <c r="C78" t="s">
        <v>131</v>
      </c>
      <c r="D78" t="s">
        <v>132</v>
      </c>
      <c r="E78" t="s">
        <v>14</v>
      </c>
      <c r="F78" t="s">
        <v>196</v>
      </c>
      <c r="G78" t="s">
        <v>28</v>
      </c>
      <c r="H78" t="s">
        <v>15</v>
      </c>
      <c r="I78" t="s">
        <v>69</v>
      </c>
      <c r="J78">
        <v>4</v>
      </c>
      <c r="K78" s="5">
        <v>1499</v>
      </c>
      <c r="L78" s="4">
        <v>7.0000000000000007E-2</v>
      </c>
      <c r="M78" t="s">
        <v>76</v>
      </c>
      <c r="N78">
        <v>5</v>
      </c>
      <c r="O78">
        <v>4</v>
      </c>
      <c r="P78" s="5">
        <f t="shared" si="3"/>
        <v>5996</v>
      </c>
      <c r="Q78" s="5">
        <f t="shared" si="4"/>
        <v>5576.28</v>
      </c>
      <c r="R78" s="5">
        <f t="shared" si="5"/>
        <v>1366.1886</v>
      </c>
    </row>
    <row r="79" spans="1:18">
      <c r="A79" s="3">
        <v>46289</v>
      </c>
      <c r="B79" t="s">
        <v>197</v>
      </c>
      <c r="C79" t="s">
        <v>41</v>
      </c>
      <c r="D79" t="s">
        <v>67</v>
      </c>
      <c r="E79" t="s">
        <v>26</v>
      </c>
      <c r="F79" t="s">
        <v>84</v>
      </c>
      <c r="G79" t="s">
        <v>16</v>
      </c>
      <c r="H79" t="s">
        <v>21</v>
      </c>
      <c r="I79" t="s">
        <v>69</v>
      </c>
      <c r="J79">
        <v>3</v>
      </c>
      <c r="K79" s="5">
        <v>4499</v>
      </c>
      <c r="L79" s="4">
        <v>0.1</v>
      </c>
      <c r="M79" t="s">
        <v>123</v>
      </c>
      <c r="N79">
        <v>6</v>
      </c>
      <c r="O79">
        <v>3.5</v>
      </c>
      <c r="P79" s="5">
        <f t="shared" si="3"/>
        <v>13497</v>
      </c>
      <c r="Q79" s="5">
        <f t="shared" si="4"/>
        <v>12147.300000000001</v>
      </c>
      <c r="R79" s="5">
        <f t="shared" si="5"/>
        <v>3036.8250000000003</v>
      </c>
    </row>
    <row r="80" spans="1:18">
      <c r="A80" s="3">
        <v>46211</v>
      </c>
      <c r="B80" t="s">
        <v>198</v>
      </c>
      <c r="C80" t="s">
        <v>34</v>
      </c>
      <c r="D80" t="s">
        <v>120</v>
      </c>
      <c r="E80" t="s">
        <v>36</v>
      </c>
      <c r="F80" t="s">
        <v>95</v>
      </c>
      <c r="G80" t="s">
        <v>22</v>
      </c>
      <c r="H80" t="s">
        <v>15</v>
      </c>
      <c r="I80" t="s">
        <v>75</v>
      </c>
      <c r="J80">
        <v>2</v>
      </c>
      <c r="K80" s="5">
        <v>999</v>
      </c>
      <c r="L80" s="4">
        <v>7.0000000000000007E-2</v>
      </c>
      <c r="M80" t="s">
        <v>70</v>
      </c>
      <c r="N80">
        <v>3</v>
      </c>
      <c r="O80">
        <v>3</v>
      </c>
      <c r="P80" s="5">
        <f t="shared" si="3"/>
        <v>1998</v>
      </c>
      <c r="Q80" s="5">
        <f t="shared" si="4"/>
        <v>1858.1399999999999</v>
      </c>
      <c r="R80" s="5">
        <f t="shared" si="5"/>
        <v>473.82569999999998</v>
      </c>
    </row>
    <row r="81" spans="1:18">
      <c r="A81" s="3">
        <v>46123</v>
      </c>
      <c r="B81" t="s">
        <v>199</v>
      </c>
      <c r="C81" t="s">
        <v>18</v>
      </c>
      <c r="D81" t="s">
        <v>115</v>
      </c>
      <c r="E81" t="s">
        <v>26</v>
      </c>
      <c r="F81" t="s">
        <v>80</v>
      </c>
      <c r="G81" t="s">
        <v>16</v>
      </c>
      <c r="H81" t="s">
        <v>21</v>
      </c>
      <c r="I81" t="s">
        <v>109</v>
      </c>
      <c r="J81">
        <v>2</v>
      </c>
      <c r="K81" s="5">
        <v>1499</v>
      </c>
      <c r="L81" s="4">
        <v>0.05</v>
      </c>
      <c r="M81" t="s">
        <v>91</v>
      </c>
      <c r="N81">
        <v>2</v>
      </c>
      <c r="O81">
        <v>5</v>
      </c>
      <c r="P81" s="5">
        <f t="shared" si="3"/>
        <v>2998</v>
      </c>
      <c r="Q81" s="5">
        <f t="shared" si="4"/>
        <v>2848.1</v>
      </c>
      <c r="R81" s="5">
        <f t="shared" si="5"/>
        <v>740.50599999999997</v>
      </c>
    </row>
    <row r="82" spans="1:18">
      <c r="A82" s="3">
        <v>46387</v>
      </c>
      <c r="B82" t="s">
        <v>200</v>
      </c>
      <c r="C82" t="s">
        <v>131</v>
      </c>
      <c r="D82" t="s">
        <v>132</v>
      </c>
      <c r="E82" t="s">
        <v>14</v>
      </c>
      <c r="F82" t="s">
        <v>196</v>
      </c>
      <c r="G82" t="s">
        <v>22</v>
      </c>
      <c r="H82" t="s">
        <v>27</v>
      </c>
      <c r="I82" t="s">
        <v>96</v>
      </c>
      <c r="J82">
        <v>2</v>
      </c>
      <c r="K82" s="5">
        <v>1499</v>
      </c>
      <c r="L82" s="4">
        <v>0</v>
      </c>
      <c r="M82" t="s">
        <v>91</v>
      </c>
      <c r="N82">
        <v>6</v>
      </c>
      <c r="O82">
        <v>5</v>
      </c>
      <c r="P82" s="5">
        <f t="shared" si="3"/>
        <v>2998</v>
      </c>
      <c r="Q82" s="5">
        <f t="shared" si="4"/>
        <v>2998</v>
      </c>
      <c r="R82" s="5">
        <f t="shared" si="5"/>
        <v>794.47</v>
      </c>
    </row>
    <row r="83" spans="1:18">
      <c r="A83" s="3">
        <v>46120</v>
      </c>
      <c r="B83" t="s">
        <v>201</v>
      </c>
      <c r="C83" t="s">
        <v>78</v>
      </c>
      <c r="D83" t="s">
        <v>79</v>
      </c>
      <c r="E83" t="s">
        <v>32</v>
      </c>
      <c r="F83" t="s">
        <v>88</v>
      </c>
      <c r="G83" t="s">
        <v>28</v>
      </c>
      <c r="H83" t="s">
        <v>15</v>
      </c>
      <c r="I83" t="s">
        <v>135</v>
      </c>
      <c r="J83">
        <v>1</v>
      </c>
      <c r="K83" s="5">
        <v>799</v>
      </c>
      <c r="L83" s="4">
        <v>0.02</v>
      </c>
      <c r="M83" t="s">
        <v>97</v>
      </c>
      <c r="N83">
        <v>1</v>
      </c>
      <c r="O83">
        <v>4.5</v>
      </c>
      <c r="P83" s="5">
        <f t="shared" si="3"/>
        <v>799</v>
      </c>
      <c r="Q83" s="5">
        <f t="shared" si="4"/>
        <v>783.02</v>
      </c>
      <c r="R83" s="5">
        <f t="shared" si="5"/>
        <v>211.41540000000001</v>
      </c>
    </row>
    <row r="84" spans="1:18">
      <c r="A84" s="3">
        <v>46045</v>
      </c>
      <c r="B84" t="s">
        <v>202</v>
      </c>
      <c r="C84" t="s">
        <v>47</v>
      </c>
      <c r="D84" t="s">
        <v>87</v>
      </c>
      <c r="E84" t="s">
        <v>26</v>
      </c>
      <c r="F84" t="s">
        <v>100</v>
      </c>
      <c r="G84" t="s">
        <v>28</v>
      </c>
      <c r="H84" t="s">
        <v>15</v>
      </c>
      <c r="I84" t="s">
        <v>69</v>
      </c>
      <c r="J84">
        <v>3</v>
      </c>
      <c r="K84" s="5">
        <v>5999</v>
      </c>
      <c r="L84" s="4">
        <v>0.12</v>
      </c>
      <c r="M84" t="s">
        <v>97</v>
      </c>
      <c r="N84">
        <v>3</v>
      </c>
      <c r="O84">
        <v>3.5</v>
      </c>
      <c r="P84" s="5">
        <f t="shared" si="3"/>
        <v>17997</v>
      </c>
      <c r="Q84" s="5">
        <f t="shared" si="4"/>
        <v>15837.36</v>
      </c>
      <c r="R84" s="5">
        <f t="shared" si="5"/>
        <v>3800.9663999999998</v>
      </c>
    </row>
    <row r="85" spans="1:18">
      <c r="A85" s="3">
        <v>46203</v>
      </c>
      <c r="B85" t="s">
        <v>203</v>
      </c>
      <c r="C85" t="s">
        <v>34</v>
      </c>
      <c r="D85" t="s">
        <v>120</v>
      </c>
      <c r="E85" t="s">
        <v>36</v>
      </c>
      <c r="F85" t="s">
        <v>155</v>
      </c>
      <c r="G85" t="s">
        <v>16</v>
      </c>
      <c r="H85" t="s">
        <v>15</v>
      </c>
      <c r="I85" t="s">
        <v>96</v>
      </c>
      <c r="J85">
        <v>2</v>
      </c>
      <c r="K85" s="5">
        <v>899</v>
      </c>
      <c r="L85" s="4">
        <v>0.02</v>
      </c>
      <c r="M85" t="s">
        <v>70</v>
      </c>
      <c r="N85">
        <v>4</v>
      </c>
      <c r="O85">
        <v>4.5</v>
      </c>
      <c r="P85" s="5">
        <f t="shared" si="3"/>
        <v>1798</v>
      </c>
      <c r="Q85" s="5">
        <f t="shared" si="4"/>
        <v>1762.04</v>
      </c>
      <c r="R85" s="5">
        <f t="shared" si="5"/>
        <v>431.69979999999998</v>
      </c>
    </row>
    <row r="86" spans="1:18">
      <c r="A86" s="3">
        <v>46341</v>
      </c>
      <c r="B86" t="s">
        <v>204</v>
      </c>
      <c r="C86" t="s">
        <v>30</v>
      </c>
      <c r="D86" t="s">
        <v>144</v>
      </c>
      <c r="E86" t="s">
        <v>20</v>
      </c>
      <c r="F86" t="s">
        <v>153</v>
      </c>
      <c r="G86" t="s">
        <v>28</v>
      </c>
      <c r="H86" t="s">
        <v>21</v>
      </c>
      <c r="I86" t="s">
        <v>96</v>
      </c>
      <c r="J86">
        <v>1</v>
      </c>
      <c r="K86" s="5">
        <v>1999</v>
      </c>
      <c r="L86" s="4">
        <v>0.02</v>
      </c>
      <c r="M86" t="s">
        <v>85</v>
      </c>
      <c r="N86">
        <v>6</v>
      </c>
      <c r="O86">
        <v>4.5</v>
      </c>
      <c r="P86" s="5">
        <f t="shared" si="3"/>
        <v>1999</v>
      </c>
      <c r="Q86" s="5">
        <f t="shared" si="4"/>
        <v>1959.02</v>
      </c>
      <c r="R86" s="5">
        <f t="shared" si="5"/>
        <v>489.755</v>
      </c>
    </row>
    <row r="87" spans="1:18">
      <c r="A87" s="3">
        <v>46262</v>
      </c>
      <c r="B87" t="s">
        <v>205</v>
      </c>
      <c r="C87" t="s">
        <v>24</v>
      </c>
      <c r="D87" t="s">
        <v>105</v>
      </c>
      <c r="E87" t="s">
        <v>14</v>
      </c>
      <c r="F87" t="s">
        <v>139</v>
      </c>
      <c r="G87" t="s">
        <v>16</v>
      </c>
      <c r="H87" t="s">
        <v>27</v>
      </c>
      <c r="I87" t="s">
        <v>69</v>
      </c>
      <c r="J87">
        <v>1</v>
      </c>
      <c r="K87" s="5">
        <v>2999</v>
      </c>
      <c r="L87" s="4">
        <v>0.15</v>
      </c>
      <c r="M87" t="s">
        <v>97</v>
      </c>
      <c r="N87">
        <v>5</v>
      </c>
      <c r="O87">
        <v>4.5</v>
      </c>
      <c r="P87" s="5">
        <f t="shared" si="3"/>
        <v>2999</v>
      </c>
      <c r="Q87" s="5">
        <f t="shared" si="4"/>
        <v>2549.15</v>
      </c>
      <c r="R87" s="5">
        <f t="shared" si="5"/>
        <v>650.03325000000007</v>
      </c>
    </row>
    <row r="88" spans="1:18">
      <c r="A88" s="3">
        <v>46378</v>
      </c>
      <c r="B88" t="s">
        <v>206</v>
      </c>
      <c r="C88" t="s">
        <v>30</v>
      </c>
      <c r="D88" t="s">
        <v>144</v>
      </c>
      <c r="E88" t="s">
        <v>26</v>
      </c>
      <c r="F88" t="s">
        <v>80</v>
      </c>
      <c r="G88" t="s">
        <v>16</v>
      </c>
      <c r="H88" t="s">
        <v>15</v>
      </c>
      <c r="I88" t="s">
        <v>96</v>
      </c>
      <c r="J88">
        <v>2</v>
      </c>
      <c r="K88" s="5">
        <v>1499</v>
      </c>
      <c r="L88" s="4">
        <v>0</v>
      </c>
      <c r="M88" t="s">
        <v>81</v>
      </c>
      <c r="N88">
        <v>6</v>
      </c>
      <c r="O88">
        <v>4.5</v>
      </c>
      <c r="P88" s="5">
        <f t="shared" si="3"/>
        <v>2998</v>
      </c>
      <c r="Q88" s="5">
        <f t="shared" si="4"/>
        <v>2998</v>
      </c>
      <c r="R88" s="5">
        <f t="shared" si="5"/>
        <v>779.48</v>
      </c>
    </row>
    <row r="89" spans="1:18">
      <c r="A89" s="3">
        <v>46237</v>
      </c>
      <c r="B89" t="s">
        <v>207</v>
      </c>
      <c r="C89" t="s">
        <v>78</v>
      </c>
      <c r="D89" t="s">
        <v>79</v>
      </c>
      <c r="E89" t="s">
        <v>36</v>
      </c>
      <c r="F89" t="s">
        <v>103</v>
      </c>
      <c r="G89" t="s">
        <v>16</v>
      </c>
      <c r="H89" t="s">
        <v>27</v>
      </c>
      <c r="I89" t="s">
        <v>69</v>
      </c>
      <c r="J89">
        <v>2</v>
      </c>
      <c r="K89" s="5">
        <v>499</v>
      </c>
      <c r="L89" s="4">
        <v>0.05</v>
      </c>
      <c r="M89" t="s">
        <v>91</v>
      </c>
      <c r="N89">
        <v>4</v>
      </c>
      <c r="O89">
        <v>4</v>
      </c>
      <c r="P89" s="5">
        <f t="shared" si="3"/>
        <v>998</v>
      </c>
      <c r="Q89" s="5">
        <f t="shared" si="4"/>
        <v>948.09999999999991</v>
      </c>
      <c r="R89" s="5">
        <f t="shared" si="5"/>
        <v>251.2465</v>
      </c>
    </row>
    <row r="90" spans="1:18">
      <c r="A90" s="3">
        <v>46216</v>
      </c>
      <c r="B90" t="s">
        <v>208</v>
      </c>
      <c r="C90" t="s">
        <v>34</v>
      </c>
      <c r="D90" t="s">
        <v>120</v>
      </c>
      <c r="E90" t="s">
        <v>26</v>
      </c>
      <c r="F90" t="s">
        <v>113</v>
      </c>
      <c r="G90" t="s">
        <v>28</v>
      </c>
      <c r="H90" t="s">
        <v>15</v>
      </c>
      <c r="I90" t="s">
        <v>135</v>
      </c>
      <c r="J90">
        <v>2</v>
      </c>
      <c r="K90" s="5">
        <v>2299</v>
      </c>
      <c r="L90" s="4">
        <v>0.12</v>
      </c>
      <c r="M90" t="s">
        <v>91</v>
      </c>
      <c r="N90">
        <v>6</v>
      </c>
      <c r="O90">
        <v>4</v>
      </c>
      <c r="P90" s="5">
        <f t="shared" si="3"/>
        <v>4598</v>
      </c>
      <c r="Q90" s="5">
        <f t="shared" si="4"/>
        <v>4046.2400000000002</v>
      </c>
      <c r="R90" s="5">
        <f t="shared" si="5"/>
        <v>1092.4848000000002</v>
      </c>
    </row>
    <row r="91" spans="1:18">
      <c r="A91" s="3">
        <v>46112</v>
      </c>
      <c r="B91" t="s">
        <v>209</v>
      </c>
      <c r="C91" t="s">
        <v>93</v>
      </c>
      <c r="D91" t="s">
        <v>94</v>
      </c>
      <c r="E91" t="s">
        <v>32</v>
      </c>
      <c r="F91" t="s">
        <v>90</v>
      </c>
      <c r="G91" t="s">
        <v>22</v>
      </c>
      <c r="H91" t="s">
        <v>15</v>
      </c>
      <c r="I91" t="s">
        <v>69</v>
      </c>
      <c r="J91">
        <v>1</v>
      </c>
      <c r="K91" s="5">
        <v>1599</v>
      </c>
      <c r="L91" s="4">
        <v>0.12</v>
      </c>
      <c r="M91" t="s">
        <v>76</v>
      </c>
      <c r="N91">
        <v>2</v>
      </c>
      <c r="O91">
        <v>3.5</v>
      </c>
      <c r="P91" s="5">
        <f t="shared" si="3"/>
        <v>1599</v>
      </c>
      <c r="Q91" s="5">
        <f t="shared" si="4"/>
        <v>1407.1200000000001</v>
      </c>
      <c r="R91" s="5">
        <f t="shared" si="5"/>
        <v>337.7088</v>
      </c>
    </row>
    <row r="92" spans="1:18">
      <c r="A92" s="3">
        <v>46336</v>
      </c>
      <c r="B92" t="s">
        <v>210</v>
      </c>
      <c r="C92" t="s">
        <v>131</v>
      </c>
      <c r="D92" t="s">
        <v>132</v>
      </c>
      <c r="E92" t="s">
        <v>26</v>
      </c>
      <c r="F92" t="s">
        <v>80</v>
      </c>
      <c r="G92" t="s">
        <v>16</v>
      </c>
      <c r="H92" t="s">
        <v>21</v>
      </c>
      <c r="I92" t="s">
        <v>69</v>
      </c>
      <c r="J92">
        <v>1</v>
      </c>
      <c r="K92" s="5">
        <v>1499</v>
      </c>
      <c r="L92" s="4">
        <v>0.05</v>
      </c>
      <c r="M92" t="s">
        <v>85</v>
      </c>
      <c r="N92">
        <v>6</v>
      </c>
      <c r="O92">
        <v>4</v>
      </c>
      <c r="P92" s="5">
        <f t="shared" si="3"/>
        <v>1499</v>
      </c>
      <c r="Q92" s="5">
        <f t="shared" si="4"/>
        <v>1424.05</v>
      </c>
      <c r="R92" s="5">
        <f t="shared" si="5"/>
        <v>348.89224999999999</v>
      </c>
    </row>
    <row r="93" spans="1:18">
      <c r="A93" s="3">
        <v>46343</v>
      </c>
      <c r="B93" t="s">
        <v>211</v>
      </c>
      <c r="C93" t="s">
        <v>18</v>
      </c>
      <c r="D93" t="s">
        <v>115</v>
      </c>
      <c r="E93" t="s">
        <v>32</v>
      </c>
      <c r="F93" t="s">
        <v>90</v>
      </c>
      <c r="G93" t="s">
        <v>22</v>
      </c>
      <c r="H93" t="s">
        <v>21</v>
      </c>
      <c r="I93" t="s">
        <v>75</v>
      </c>
      <c r="J93">
        <v>1</v>
      </c>
      <c r="K93" s="5">
        <v>1599</v>
      </c>
      <c r="L93" s="4">
        <v>0.02</v>
      </c>
      <c r="M93" t="s">
        <v>70</v>
      </c>
      <c r="N93">
        <v>6</v>
      </c>
      <c r="O93">
        <v>4.5</v>
      </c>
      <c r="P93" s="5">
        <f t="shared" si="3"/>
        <v>1599</v>
      </c>
      <c r="Q93" s="5">
        <f t="shared" si="4"/>
        <v>1567.02</v>
      </c>
      <c r="R93" s="5">
        <f t="shared" si="5"/>
        <v>391.755</v>
      </c>
    </row>
    <row r="94" spans="1:18">
      <c r="A94" s="3">
        <v>46250</v>
      </c>
      <c r="B94" t="s">
        <v>212</v>
      </c>
      <c r="C94" t="s">
        <v>93</v>
      </c>
      <c r="D94" t="s">
        <v>94</v>
      </c>
      <c r="E94" t="s">
        <v>26</v>
      </c>
      <c r="F94" t="s">
        <v>116</v>
      </c>
      <c r="G94" t="s">
        <v>22</v>
      </c>
      <c r="H94" t="s">
        <v>21</v>
      </c>
      <c r="I94" t="s">
        <v>135</v>
      </c>
      <c r="J94">
        <v>2</v>
      </c>
      <c r="K94" s="5">
        <v>899</v>
      </c>
      <c r="L94" s="4">
        <v>0.1</v>
      </c>
      <c r="M94" t="s">
        <v>117</v>
      </c>
      <c r="N94">
        <v>5</v>
      </c>
      <c r="O94">
        <v>3.5</v>
      </c>
      <c r="P94" s="5">
        <f t="shared" si="3"/>
        <v>1798</v>
      </c>
      <c r="Q94" s="5">
        <f t="shared" si="4"/>
        <v>1618.2</v>
      </c>
      <c r="R94" s="5">
        <f t="shared" si="5"/>
        <v>412.64100000000002</v>
      </c>
    </row>
    <row r="95" spans="1:18">
      <c r="A95" s="3">
        <v>46303</v>
      </c>
      <c r="B95" t="s">
        <v>213</v>
      </c>
      <c r="C95" t="s">
        <v>18</v>
      </c>
      <c r="D95" t="s">
        <v>115</v>
      </c>
      <c r="E95" t="s">
        <v>20</v>
      </c>
      <c r="F95" t="s">
        <v>153</v>
      </c>
      <c r="G95" t="s">
        <v>28</v>
      </c>
      <c r="H95" t="s">
        <v>21</v>
      </c>
      <c r="I95" t="s">
        <v>109</v>
      </c>
      <c r="J95">
        <v>5</v>
      </c>
      <c r="K95" s="5">
        <v>1999</v>
      </c>
      <c r="L95" s="4">
        <v>0.05</v>
      </c>
      <c r="M95" t="s">
        <v>117</v>
      </c>
      <c r="N95">
        <v>2</v>
      </c>
      <c r="O95">
        <v>3.5</v>
      </c>
      <c r="P95" s="5">
        <f t="shared" si="3"/>
        <v>9995</v>
      </c>
      <c r="Q95" s="5">
        <f t="shared" si="4"/>
        <v>9495.25</v>
      </c>
      <c r="R95" s="5">
        <f t="shared" si="5"/>
        <v>2468.7649999999999</v>
      </c>
    </row>
    <row r="96" spans="1:18">
      <c r="A96" s="3">
        <v>46220</v>
      </c>
      <c r="B96" t="s">
        <v>214</v>
      </c>
      <c r="C96" t="s">
        <v>30</v>
      </c>
      <c r="D96" t="s">
        <v>144</v>
      </c>
      <c r="E96" t="s">
        <v>36</v>
      </c>
      <c r="F96" t="s">
        <v>103</v>
      </c>
      <c r="G96" t="s">
        <v>16</v>
      </c>
      <c r="H96" t="s">
        <v>27</v>
      </c>
      <c r="I96" t="s">
        <v>69</v>
      </c>
      <c r="J96">
        <v>2</v>
      </c>
      <c r="K96" s="5">
        <v>499</v>
      </c>
      <c r="L96" s="4">
        <v>7.0000000000000007E-2</v>
      </c>
      <c r="M96" t="s">
        <v>85</v>
      </c>
      <c r="N96">
        <v>6</v>
      </c>
      <c r="O96">
        <v>4.5</v>
      </c>
      <c r="P96" s="5">
        <f t="shared" si="3"/>
        <v>998</v>
      </c>
      <c r="Q96" s="5">
        <f t="shared" si="4"/>
        <v>928.14</v>
      </c>
      <c r="R96" s="5">
        <f t="shared" si="5"/>
        <v>245.9571</v>
      </c>
    </row>
    <row r="97" spans="1:18">
      <c r="A97" s="3">
        <v>46216</v>
      </c>
      <c r="B97" t="s">
        <v>215</v>
      </c>
      <c r="C97" t="s">
        <v>93</v>
      </c>
      <c r="D97" t="s">
        <v>94</v>
      </c>
      <c r="E97" t="s">
        <v>26</v>
      </c>
      <c r="F97" t="s">
        <v>116</v>
      </c>
      <c r="G97" t="s">
        <v>16</v>
      </c>
      <c r="H97" t="s">
        <v>15</v>
      </c>
      <c r="I97" t="s">
        <v>69</v>
      </c>
      <c r="J97">
        <v>3</v>
      </c>
      <c r="K97" s="5">
        <v>899</v>
      </c>
      <c r="L97" s="4">
        <v>7.0000000000000007E-2</v>
      </c>
      <c r="M97" t="s">
        <v>85</v>
      </c>
      <c r="N97">
        <v>1</v>
      </c>
      <c r="O97">
        <v>4.5</v>
      </c>
      <c r="P97" s="5">
        <f t="shared" si="3"/>
        <v>2697</v>
      </c>
      <c r="Q97" s="5">
        <f t="shared" si="4"/>
        <v>2508.21</v>
      </c>
      <c r="R97" s="5">
        <f t="shared" si="5"/>
        <v>677.21670000000006</v>
      </c>
    </row>
    <row r="98" spans="1:18">
      <c r="A98" s="3">
        <v>46123</v>
      </c>
      <c r="B98" t="s">
        <v>216</v>
      </c>
      <c r="C98" t="s">
        <v>38</v>
      </c>
      <c r="D98" t="s">
        <v>83</v>
      </c>
      <c r="E98" t="s">
        <v>20</v>
      </c>
      <c r="F98" t="s">
        <v>106</v>
      </c>
      <c r="G98" t="s">
        <v>22</v>
      </c>
      <c r="H98" t="s">
        <v>21</v>
      </c>
      <c r="I98" t="s">
        <v>96</v>
      </c>
      <c r="J98">
        <v>2</v>
      </c>
      <c r="K98" s="5">
        <v>1799</v>
      </c>
      <c r="L98" s="4">
        <v>0.02</v>
      </c>
      <c r="M98" t="s">
        <v>91</v>
      </c>
      <c r="N98">
        <v>4</v>
      </c>
      <c r="O98">
        <v>5</v>
      </c>
      <c r="P98" s="5">
        <f t="shared" si="3"/>
        <v>3598</v>
      </c>
      <c r="Q98" s="5">
        <f t="shared" si="4"/>
        <v>3526.04</v>
      </c>
      <c r="R98" s="5">
        <f t="shared" si="5"/>
        <v>846.24959999999999</v>
      </c>
    </row>
    <row r="99" spans="1:18">
      <c r="A99" s="3">
        <v>46328</v>
      </c>
      <c r="B99" t="s">
        <v>217</v>
      </c>
      <c r="C99" t="s">
        <v>131</v>
      </c>
      <c r="D99" t="s">
        <v>132</v>
      </c>
      <c r="E99" t="s">
        <v>26</v>
      </c>
      <c r="F99" t="s">
        <v>113</v>
      </c>
      <c r="G99" t="s">
        <v>16</v>
      </c>
      <c r="H99" t="s">
        <v>27</v>
      </c>
      <c r="I99" t="s">
        <v>69</v>
      </c>
      <c r="J99">
        <v>1</v>
      </c>
      <c r="K99" s="5">
        <v>2299</v>
      </c>
      <c r="L99" s="4">
        <v>7.0000000000000007E-2</v>
      </c>
      <c r="M99" t="s">
        <v>85</v>
      </c>
      <c r="N99">
        <v>5</v>
      </c>
      <c r="O99">
        <v>5</v>
      </c>
      <c r="P99" s="5">
        <f t="shared" si="3"/>
        <v>2299</v>
      </c>
      <c r="Q99" s="5">
        <f t="shared" si="4"/>
        <v>2138.0699999999997</v>
      </c>
      <c r="R99" s="5">
        <f t="shared" si="5"/>
        <v>523.82714999999996</v>
      </c>
    </row>
    <row r="100" spans="1:18">
      <c r="A100" s="3">
        <v>46337</v>
      </c>
      <c r="B100" t="s">
        <v>218</v>
      </c>
      <c r="C100" t="s">
        <v>131</v>
      </c>
      <c r="D100" t="s">
        <v>132</v>
      </c>
      <c r="E100" t="s">
        <v>26</v>
      </c>
      <c r="F100" t="s">
        <v>116</v>
      </c>
      <c r="G100" t="s">
        <v>16</v>
      </c>
      <c r="H100" t="s">
        <v>15</v>
      </c>
      <c r="I100" t="s">
        <v>96</v>
      </c>
      <c r="J100">
        <v>3</v>
      </c>
      <c r="K100" s="5">
        <v>899</v>
      </c>
      <c r="L100" s="4">
        <v>0.1</v>
      </c>
      <c r="M100" t="s">
        <v>70</v>
      </c>
      <c r="N100">
        <v>3</v>
      </c>
      <c r="O100">
        <v>5</v>
      </c>
      <c r="P100" s="5">
        <f t="shared" si="3"/>
        <v>2697</v>
      </c>
      <c r="Q100" s="5">
        <f t="shared" si="4"/>
        <v>2427.3000000000002</v>
      </c>
      <c r="R100" s="5">
        <f t="shared" si="5"/>
        <v>606.82500000000005</v>
      </c>
    </row>
    <row r="101" spans="1:18">
      <c r="A101" s="3">
        <v>46209</v>
      </c>
      <c r="B101" t="s">
        <v>219</v>
      </c>
      <c r="C101" t="s">
        <v>34</v>
      </c>
      <c r="D101" t="s">
        <v>120</v>
      </c>
      <c r="E101" t="s">
        <v>36</v>
      </c>
      <c r="F101" t="s">
        <v>68</v>
      </c>
      <c r="G101" t="s">
        <v>28</v>
      </c>
      <c r="H101" t="s">
        <v>15</v>
      </c>
      <c r="I101" t="s">
        <v>75</v>
      </c>
      <c r="J101">
        <v>1</v>
      </c>
      <c r="K101" s="5">
        <v>599</v>
      </c>
      <c r="L101" s="4">
        <v>0.15</v>
      </c>
      <c r="M101" t="s">
        <v>97</v>
      </c>
      <c r="N101">
        <v>2</v>
      </c>
      <c r="O101">
        <v>4.5</v>
      </c>
      <c r="P101" s="5">
        <f t="shared" si="3"/>
        <v>599</v>
      </c>
      <c r="Q101" s="5">
        <f t="shared" si="4"/>
        <v>509.15</v>
      </c>
      <c r="R101" s="5">
        <f t="shared" si="5"/>
        <v>129.83324999999999</v>
      </c>
    </row>
    <row r="102" spans="1:18">
      <c r="A102" s="3">
        <v>46224</v>
      </c>
      <c r="B102" t="s">
        <v>220</v>
      </c>
      <c r="C102" t="s">
        <v>47</v>
      </c>
      <c r="D102" t="s">
        <v>87</v>
      </c>
      <c r="E102" t="s">
        <v>20</v>
      </c>
      <c r="F102" t="s">
        <v>106</v>
      </c>
      <c r="G102" t="s">
        <v>16</v>
      </c>
      <c r="H102" t="s">
        <v>27</v>
      </c>
      <c r="I102" t="s">
        <v>75</v>
      </c>
      <c r="J102">
        <v>2</v>
      </c>
      <c r="K102" s="5">
        <v>1799</v>
      </c>
      <c r="L102" s="4">
        <v>0.05</v>
      </c>
      <c r="M102" t="s">
        <v>81</v>
      </c>
      <c r="N102">
        <v>2</v>
      </c>
      <c r="O102">
        <v>4</v>
      </c>
      <c r="P102" s="5">
        <f t="shared" si="3"/>
        <v>3598</v>
      </c>
      <c r="Q102" s="5">
        <f t="shared" si="4"/>
        <v>3418.1</v>
      </c>
      <c r="R102" s="5">
        <f t="shared" si="5"/>
        <v>888.70600000000002</v>
      </c>
    </row>
    <row r="103" spans="1:18">
      <c r="A103" s="3">
        <v>46257</v>
      </c>
      <c r="B103" t="s">
        <v>221</v>
      </c>
      <c r="C103" t="s">
        <v>72</v>
      </c>
      <c r="D103" t="s">
        <v>73</v>
      </c>
      <c r="E103" t="s">
        <v>26</v>
      </c>
      <c r="F103" t="s">
        <v>113</v>
      </c>
      <c r="G103" t="s">
        <v>16</v>
      </c>
      <c r="H103" t="s">
        <v>21</v>
      </c>
      <c r="I103" t="s">
        <v>109</v>
      </c>
      <c r="J103">
        <v>5</v>
      </c>
      <c r="K103" s="5">
        <v>2299</v>
      </c>
      <c r="L103" s="4">
        <v>0.12</v>
      </c>
      <c r="M103" t="s">
        <v>117</v>
      </c>
      <c r="N103">
        <v>3</v>
      </c>
      <c r="O103">
        <v>3</v>
      </c>
      <c r="P103" s="5">
        <f t="shared" si="3"/>
        <v>11495</v>
      </c>
      <c r="Q103" s="5">
        <f t="shared" si="4"/>
        <v>10115.6</v>
      </c>
      <c r="R103" s="5">
        <f t="shared" si="5"/>
        <v>2680.634</v>
      </c>
    </row>
    <row r="104" spans="1:18">
      <c r="A104" s="3">
        <v>46056</v>
      </c>
      <c r="B104" t="s">
        <v>222</v>
      </c>
      <c r="C104" t="s">
        <v>41</v>
      </c>
      <c r="D104" t="s">
        <v>67</v>
      </c>
      <c r="E104" t="s">
        <v>20</v>
      </c>
      <c r="F104" t="s">
        <v>106</v>
      </c>
      <c r="G104" t="s">
        <v>28</v>
      </c>
      <c r="H104" t="s">
        <v>15</v>
      </c>
      <c r="I104" t="s">
        <v>109</v>
      </c>
      <c r="J104">
        <v>2</v>
      </c>
      <c r="K104" s="5">
        <v>1799</v>
      </c>
      <c r="L104" s="4">
        <v>0</v>
      </c>
      <c r="M104" t="s">
        <v>76</v>
      </c>
      <c r="N104">
        <v>3</v>
      </c>
      <c r="O104">
        <v>4</v>
      </c>
      <c r="P104" s="5">
        <f t="shared" si="3"/>
        <v>3598</v>
      </c>
      <c r="Q104" s="5">
        <f t="shared" si="4"/>
        <v>3598</v>
      </c>
      <c r="R104" s="5">
        <f t="shared" si="5"/>
        <v>971.46</v>
      </c>
    </row>
    <row r="105" spans="1:18">
      <c r="A105" s="3">
        <v>46067</v>
      </c>
      <c r="B105" t="s">
        <v>223</v>
      </c>
      <c r="C105" t="s">
        <v>41</v>
      </c>
      <c r="D105" t="s">
        <v>67</v>
      </c>
      <c r="E105" t="s">
        <v>20</v>
      </c>
      <c r="F105" t="s">
        <v>153</v>
      </c>
      <c r="G105" t="s">
        <v>16</v>
      </c>
      <c r="H105" t="s">
        <v>27</v>
      </c>
      <c r="I105" t="s">
        <v>96</v>
      </c>
      <c r="J105">
        <v>2</v>
      </c>
      <c r="K105" s="5">
        <v>1999</v>
      </c>
      <c r="L105" s="4">
        <v>0.15</v>
      </c>
      <c r="M105" t="s">
        <v>123</v>
      </c>
      <c r="N105">
        <v>2</v>
      </c>
      <c r="O105">
        <v>4.5</v>
      </c>
      <c r="P105" s="5">
        <f t="shared" si="3"/>
        <v>3998</v>
      </c>
      <c r="Q105" s="5">
        <f t="shared" si="4"/>
        <v>3398.2999999999997</v>
      </c>
      <c r="R105" s="5">
        <f t="shared" si="5"/>
        <v>815.59199999999987</v>
      </c>
    </row>
    <row r="106" spans="1:18">
      <c r="A106" s="3">
        <v>46239</v>
      </c>
      <c r="B106" t="s">
        <v>224</v>
      </c>
      <c r="C106" t="s">
        <v>24</v>
      </c>
      <c r="D106" t="s">
        <v>105</v>
      </c>
      <c r="E106" t="s">
        <v>32</v>
      </c>
      <c r="F106" t="s">
        <v>159</v>
      </c>
      <c r="G106" t="s">
        <v>22</v>
      </c>
      <c r="H106" t="s">
        <v>27</v>
      </c>
      <c r="I106" t="s">
        <v>75</v>
      </c>
      <c r="J106">
        <v>1</v>
      </c>
      <c r="K106" s="5">
        <v>2499</v>
      </c>
      <c r="L106" s="4">
        <v>7.0000000000000007E-2</v>
      </c>
      <c r="M106" t="s">
        <v>91</v>
      </c>
      <c r="N106">
        <v>3</v>
      </c>
      <c r="O106">
        <v>4.5</v>
      </c>
      <c r="P106" s="5">
        <f t="shared" si="3"/>
        <v>2499</v>
      </c>
      <c r="Q106" s="5">
        <f t="shared" si="4"/>
        <v>2324.0699999999997</v>
      </c>
      <c r="R106" s="5">
        <f t="shared" si="5"/>
        <v>569.3971499999999</v>
      </c>
    </row>
    <row r="107" spans="1:18">
      <c r="A107" s="3">
        <v>46058</v>
      </c>
      <c r="B107" t="s">
        <v>225</v>
      </c>
      <c r="C107" t="s">
        <v>38</v>
      </c>
      <c r="D107" t="s">
        <v>83</v>
      </c>
      <c r="E107" t="s">
        <v>36</v>
      </c>
      <c r="F107" t="s">
        <v>68</v>
      </c>
      <c r="G107" t="s">
        <v>22</v>
      </c>
      <c r="H107" t="s">
        <v>15</v>
      </c>
      <c r="I107" t="s">
        <v>75</v>
      </c>
      <c r="J107">
        <v>1</v>
      </c>
      <c r="K107" s="5">
        <v>599</v>
      </c>
      <c r="L107" s="4">
        <v>0</v>
      </c>
      <c r="M107" t="s">
        <v>123</v>
      </c>
      <c r="N107">
        <v>4</v>
      </c>
      <c r="O107">
        <v>5</v>
      </c>
      <c r="P107" s="5">
        <f t="shared" si="3"/>
        <v>599</v>
      </c>
      <c r="Q107" s="5">
        <f t="shared" si="4"/>
        <v>599</v>
      </c>
      <c r="R107" s="5">
        <f t="shared" si="5"/>
        <v>149.75</v>
      </c>
    </row>
    <row r="108" spans="1:18">
      <c r="A108" s="3">
        <v>46155</v>
      </c>
      <c r="B108" t="s">
        <v>226</v>
      </c>
      <c r="C108" t="s">
        <v>44</v>
      </c>
      <c r="D108" t="s">
        <v>165</v>
      </c>
      <c r="E108" t="s">
        <v>14</v>
      </c>
      <c r="F108" t="s">
        <v>122</v>
      </c>
      <c r="G108" t="s">
        <v>16</v>
      </c>
      <c r="H108" t="s">
        <v>21</v>
      </c>
      <c r="I108" t="s">
        <v>75</v>
      </c>
      <c r="J108">
        <v>1</v>
      </c>
      <c r="K108" s="5">
        <v>3999</v>
      </c>
      <c r="L108" s="4">
        <v>0.15</v>
      </c>
      <c r="M108" t="s">
        <v>85</v>
      </c>
      <c r="N108">
        <v>3</v>
      </c>
      <c r="O108">
        <v>5</v>
      </c>
      <c r="P108" s="5">
        <f t="shared" si="3"/>
        <v>3999</v>
      </c>
      <c r="Q108" s="5">
        <f t="shared" si="4"/>
        <v>3399.15</v>
      </c>
      <c r="R108" s="5">
        <f t="shared" si="5"/>
        <v>866.78325000000007</v>
      </c>
    </row>
    <row r="109" spans="1:18">
      <c r="A109" s="3">
        <v>46319</v>
      </c>
      <c r="B109" t="s">
        <v>227</v>
      </c>
      <c r="C109" t="s">
        <v>38</v>
      </c>
      <c r="D109" t="s">
        <v>83</v>
      </c>
      <c r="E109" t="s">
        <v>20</v>
      </c>
      <c r="F109" t="s">
        <v>111</v>
      </c>
      <c r="G109" t="s">
        <v>22</v>
      </c>
      <c r="H109" t="s">
        <v>21</v>
      </c>
      <c r="I109" t="s">
        <v>75</v>
      </c>
      <c r="J109">
        <v>2</v>
      </c>
      <c r="K109" s="5">
        <v>2799</v>
      </c>
      <c r="L109" s="4">
        <v>0.1</v>
      </c>
      <c r="M109" t="s">
        <v>85</v>
      </c>
      <c r="N109">
        <v>3</v>
      </c>
      <c r="O109">
        <v>4</v>
      </c>
      <c r="P109" s="5">
        <f t="shared" si="3"/>
        <v>5598</v>
      </c>
      <c r="Q109" s="5">
        <f t="shared" si="4"/>
        <v>5038.2</v>
      </c>
      <c r="R109" s="5">
        <f t="shared" si="5"/>
        <v>1309.932</v>
      </c>
    </row>
    <row r="110" spans="1:18">
      <c r="A110" s="3">
        <v>46156</v>
      </c>
      <c r="B110" t="s">
        <v>228</v>
      </c>
      <c r="C110" t="s">
        <v>34</v>
      </c>
      <c r="D110" t="s">
        <v>120</v>
      </c>
      <c r="E110" t="s">
        <v>36</v>
      </c>
      <c r="F110" t="s">
        <v>155</v>
      </c>
      <c r="G110" t="s">
        <v>28</v>
      </c>
      <c r="H110" t="s">
        <v>21</v>
      </c>
      <c r="I110" t="s">
        <v>135</v>
      </c>
      <c r="J110">
        <v>1</v>
      </c>
      <c r="K110" s="5">
        <v>899</v>
      </c>
      <c r="L110" s="4">
        <v>0.15</v>
      </c>
      <c r="M110" t="s">
        <v>85</v>
      </c>
      <c r="N110">
        <v>2</v>
      </c>
      <c r="O110">
        <v>4.5</v>
      </c>
      <c r="P110" s="5">
        <f t="shared" si="3"/>
        <v>899</v>
      </c>
      <c r="Q110" s="5">
        <f t="shared" si="4"/>
        <v>764.15</v>
      </c>
      <c r="R110" s="5">
        <f t="shared" si="5"/>
        <v>202.49975000000001</v>
      </c>
    </row>
    <row r="111" spans="1:18">
      <c r="A111" s="3">
        <v>46023</v>
      </c>
      <c r="B111" t="s">
        <v>229</v>
      </c>
      <c r="C111" t="s">
        <v>34</v>
      </c>
      <c r="D111" t="s">
        <v>120</v>
      </c>
      <c r="E111" t="s">
        <v>36</v>
      </c>
      <c r="F111" t="s">
        <v>68</v>
      </c>
      <c r="G111" t="s">
        <v>28</v>
      </c>
      <c r="H111" t="s">
        <v>27</v>
      </c>
      <c r="I111" t="s">
        <v>75</v>
      </c>
      <c r="J111">
        <v>1</v>
      </c>
      <c r="K111" s="5">
        <v>599</v>
      </c>
      <c r="L111" s="4">
        <v>0.05</v>
      </c>
      <c r="M111" t="s">
        <v>117</v>
      </c>
      <c r="N111">
        <v>3</v>
      </c>
      <c r="O111">
        <v>4.5</v>
      </c>
      <c r="P111" s="5">
        <f t="shared" si="3"/>
        <v>599</v>
      </c>
      <c r="Q111" s="5">
        <f t="shared" si="4"/>
        <v>569.04999999999995</v>
      </c>
      <c r="R111" s="5">
        <f t="shared" si="5"/>
        <v>153.64349999999999</v>
      </c>
    </row>
    <row r="112" spans="1:18">
      <c r="A112" s="3">
        <v>46259</v>
      </c>
      <c r="B112" t="s">
        <v>230</v>
      </c>
      <c r="C112" t="s">
        <v>72</v>
      </c>
      <c r="D112" t="s">
        <v>73</v>
      </c>
      <c r="E112" t="s">
        <v>32</v>
      </c>
      <c r="F112" t="s">
        <v>88</v>
      </c>
      <c r="G112" t="s">
        <v>22</v>
      </c>
      <c r="H112" t="s">
        <v>27</v>
      </c>
      <c r="I112" t="s">
        <v>96</v>
      </c>
      <c r="J112">
        <v>5</v>
      </c>
      <c r="K112" s="5">
        <v>799</v>
      </c>
      <c r="L112" s="4">
        <v>0.15</v>
      </c>
      <c r="M112" t="s">
        <v>117</v>
      </c>
      <c r="N112">
        <v>4</v>
      </c>
      <c r="O112">
        <v>4</v>
      </c>
      <c r="P112" s="5">
        <f t="shared" si="3"/>
        <v>3995</v>
      </c>
      <c r="Q112" s="5">
        <f t="shared" si="4"/>
        <v>3395.75</v>
      </c>
      <c r="R112" s="5">
        <f t="shared" si="5"/>
        <v>814.98</v>
      </c>
    </row>
    <row r="113" spans="1:18">
      <c r="A113" s="3">
        <v>46205</v>
      </c>
      <c r="B113" t="s">
        <v>231</v>
      </c>
      <c r="C113" t="s">
        <v>44</v>
      </c>
      <c r="D113" t="s">
        <v>165</v>
      </c>
      <c r="E113" t="s">
        <v>26</v>
      </c>
      <c r="F113" t="s">
        <v>116</v>
      </c>
      <c r="G113" t="s">
        <v>22</v>
      </c>
      <c r="H113" t="s">
        <v>21</v>
      </c>
      <c r="I113" t="s">
        <v>96</v>
      </c>
      <c r="J113">
        <v>3</v>
      </c>
      <c r="K113" s="5">
        <v>899</v>
      </c>
      <c r="L113" s="4">
        <v>0</v>
      </c>
      <c r="M113" t="s">
        <v>91</v>
      </c>
      <c r="N113">
        <v>4</v>
      </c>
      <c r="O113">
        <v>5</v>
      </c>
      <c r="P113" s="5">
        <f t="shared" si="3"/>
        <v>2697</v>
      </c>
      <c r="Q113" s="5">
        <f t="shared" si="4"/>
        <v>2697</v>
      </c>
      <c r="R113" s="5">
        <f t="shared" si="5"/>
        <v>660.76499999999999</v>
      </c>
    </row>
    <row r="114" spans="1:18">
      <c r="A114" s="3">
        <v>46173</v>
      </c>
      <c r="B114" t="s">
        <v>232</v>
      </c>
      <c r="C114" t="s">
        <v>131</v>
      </c>
      <c r="D114" t="s">
        <v>132</v>
      </c>
      <c r="E114" t="s">
        <v>36</v>
      </c>
      <c r="F114" t="s">
        <v>95</v>
      </c>
      <c r="G114" t="s">
        <v>22</v>
      </c>
      <c r="H114" t="s">
        <v>21</v>
      </c>
      <c r="I114" t="s">
        <v>96</v>
      </c>
      <c r="J114">
        <v>1</v>
      </c>
      <c r="K114" s="5">
        <v>999</v>
      </c>
      <c r="L114" s="4">
        <v>0.05</v>
      </c>
      <c r="M114" t="s">
        <v>85</v>
      </c>
      <c r="N114">
        <v>6</v>
      </c>
      <c r="O114">
        <v>5</v>
      </c>
      <c r="P114" s="5">
        <f t="shared" si="3"/>
        <v>999</v>
      </c>
      <c r="Q114" s="5">
        <f t="shared" si="4"/>
        <v>949.05</v>
      </c>
      <c r="R114" s="5">
        <f t="shared" si="5"/>
        <v>237.26249999999999</v>
      </c>
    </row>
    <row r="115" spans="1:18">
      <c r="A115" s="3">
        <v>46154</v>
      </c>
      <c r="B115" t="s">
        <v>233</v>
      </c>
      <c r="C115" t="s">
        <v>18</v>
      </c>
      <c r="D115" t="s">
        <v>115</v>
      </c>
      <c r="E115" t="s">
        <v>20</v>
      </c>
      <c r="F115" t="s">
        <v>153</v>
      </c>
      <c r="G115" t="s">
        <v>16</v>
      </c>
      <c r="H115" t="s">
        <v>15</v>
      </c>
      <c r="I115" t="s">
        <v>135</v>
      </c>
      <c r="J115">
        <v>1</v>
      </c>
      <c r="K115" s="5">
        <v>1999</v>
      </c>
      <c r="L115" s="4">
        <v>0.02</v>
      </c>
      <c r="M115" t="s">
        <v>76</v>
      </c>
      <c r="N115">
        <v>2</v>
      </c>
      <c r="O115">
        <v>4.5</v>
      </c>
      <c r="P115" s="5">
        <f t="shared" si="3"/>
        <v>1999</v>
      </c>
      <c r="Q115" s="5">
        <f t="shared" si="4"/>
        <v>1959.02</v>
      </c>
      <c r="R115" s="5">
        <f t="shared" si="5"/>
        <v>499.55009999999999</v>
      </c>
    </row>
    <row r="116" spans="1:18">
      <c r="A116" s="3">
        <v>46287</v>
      </c>
      <c r="B116" t="s">
        <v>234</v>
      </c>
      <c r="C116" t="s">
        <v>78</v>
      </c>
      <c r="D116" t="s">
        <v>79</v>
      </c>
      <c r="E116" t="s">
        <v>36</v>
      </c>
      <c r="F116" t="s">
        <v>95</v>
      </c>
      <c r="G116" t="s">
        <v>22</v>
      </c>
      <c r="H116" t="s">
        <v>15</v>
      </c>
      <c r="I116" t="s">
        <v>75</v>
      </c>
      <c r="J116">
        <v>1</v>
      </c>
      <c r="K116" s="5">
        <v>999</v>
      </c>
      <c r="L116" s="4">
        <v>0</v>
      </c>
      <c r="M116" t="s">
        <v>81</v>
      </c>
      <c r="N116">
        <v>5</v>
      </c>
      <c r="O116">
        <v>5</v>
      </c>
      <c r="P116" s="5">
        <f t="shared" si="3"/>
        <v>999</v>
      </c>
      <c r="Q116" s="5">
        <f t="shared" si="4"/>
        <v>999</v>
      </c>
      <c r="R116" s="5">
        <f t="shared" si="5"/>
        <v>259.74</v>
      </c>
    </row>
    <row r="117" spans="1:18">
      <c r="A117" s="3">
        <v>46059</v>
      </c>
      <c r="B117" t="s">
        <v>235</v>
      </c>
      <c r="C117" t="s">
        <v>72</v>
      </c>
      <c r="D117" t="s">
        <v>73</v>
      </c>
      <c r="E117" t="s">
        <v>32</v>
      </c>
      <c r="F117" t="s">
        <v>88</v>
      </c>
      <c r="G117" t="s">
        <v>28</v>
      </c>
      <c r="H117" t="s">
        <v>27</v>
      </c>
      <c r="I117" t="s">
        <v>75</v>
      </c>
      <c r="J117">
        <v>1</v>
      </c>
      <c r="K117" s="5">
        <v>799</v>
      </c>
      <c r="L117" s="4">
        <v>0.15</v>
      </c>
      <c r="M117" t="s">
        <v>85</v>
      </c>
      <c r="N117">
        <v>3</v>
      </c>
      <c r="O117">
        <v>4</v>
      </c>
      <c r="P117" s="5">
        <f t="shared" si="3"/>
        <v>799</v>
      </c>
      <c r="Q117" s="5">
        <f t="shared" si="4"/>
        <v>679.15</v>
      </c>
      <c r="R117" s="5">
        <f t="shared" si="5"/>
        <v>179.97475</v>
      </c>
    </row>
    <row r="118" spans="1:18">
      <c r="A118" s="3">
        <v>46369</v>
      </c>
      <c r="B118" t="s">
        <v>236</v>
      </c>
      <c r="C118" t="s">
        <v>47</v>
      </c>
      <c r="D118" t="s">
        <v>87</v>
      </c>
      <c r="E118" t="s">
        <v>20</v>
      </c>
      <c r="F118" t="s">
        <v>133</v>
      </c>
      <c r="G118" t="s">
        <v>22</v>
      </c>
      <c r="H118" t="s">
        <v>27</v>
      </c>
      <c r="I118" t="s">
        <v>69</v>
      </c>
      <c r="J118">
        <v>1</v>
      </c>
      <c r="K118" s="5">
        <v>3499</v>
      </c>
      <c r="L118" s="4">
        <v>0.02</v>
      </c>
      <c r="M118" t="s">
        <v>123</v>
      </c>
      <c r="N118">
        <v>4</v>
      </c>
      <c r="O118">
        <v>4.5</v>
      </c>
      <c r="P118" s="5">
        <f t="shared" si="3"/>
        <v>3499</v>
      </c>
      <c r="Q118" s="5">
        <f t="shared" si="4"/>
        <v>3429.02</v>
      </c>
      <c r="R118" s="5">
        <f t="shared" si="5"/>
        <v>925.83540000000005</v>
      </c>
    </row>
    <row r="119" spans="1:18">
      <c r="A119" s="3">
        <v>46058</v>
      </c>
      <c r="B119" t="s">
        <v>237</v>
      </c>
      <c r="C119" t="s">
        <v>47</v>
      </c>
      <c r="D119" t="s">
        <v>87</v>
      </c>
      <c r="E119" t="s">
        <v>36</v>
      </c>
      <c r="F119" t="s">
        <v>155</v>
      </c>
      <c r="G119" t="s">
        <v>28</v>
      </c>
      <c r="H119" t="s">
        <v>27</v>
      </c>
      <c r="I119" t="s">
        <v>109</v>
      </c>
      <c r="J119">
        <v>3</v>
      </c>
      <c r="K119" s="5">
        <v>899</v>
      </c>
      <c r="L119" s="4">
        <v>7.0000000000000007E-2</v>
      </c>
      <c r="M119" t="s">
        <v>91</v>
      </c>
      <c r="N119">
        <v>3</v>
      </c>
      <c r="O119">
        <v>5</v>
      </c>
      <c r="P119" s="5">
        <f t="shared" si="3"/>
        <v>2697</v>
      </c>
      <c r="Q119" s="5">
        <f t="shared" si="4"/>
        <v>2508.21</v>
      </c>
      <c r="R119" s="5">
        <f t="shared" si="5"/>
        <v>601.97040000000004</v>
      </c>
    </row>
    <row r="120" spans="1:18">
      <c r="A120" s="3">
        <v>46088</v>
      </c>
      <c r="B120" t="s">
        <v>238</v>
      </c>
      <c r="C120" t="s">
        <v>44</v>
      </c>
      <c r="D120" t="s">
        <v>165</v>
      </c>
      <c r="E120" t="s">
        <v>20</v>
      </c>
      <c r="F120" t="s">
        <v>188</v>
      </c>
      <c r="G120" t="s">
        <v>28</v>
      </c>
      <c r="H120" t="s">
        <v>27</v>
      </c>
      <c r="I120" t="s">
        <v>109</v>
      </c>
      <c r="J120">
        <v>4</v>
      </c>
      <c r="K120" s="5">
        <v>2999</v>
      </c>
      <c r="L120" s="4">
        <v>7.0000000000000007E-2</v>
      </c>
      <c r="M120" t="s">
        <v>97</v>
      </c>
      <c r="N120">
        <v>3</v>
      </c>
      <c r="O120">
        <v>5</v>
      </c>
      <c r="P120" s="5">
        <f t="shared" si="3"/>
        <v>11996</v>
      </c>
      <c r="Q120" s="5">
        <f t="shared" si="4"/>
        <v>11156.279999999999</v>
      </c>
      <c r="R120" s="5">
        <f t="shared" si="5"/>
        <v>2733.2885999999999</v>
      </c>
    </row>
    <row r="121" spans="1:18">
      <c r="A121" s="3">
        <v>46376</v>
      </c>
      <c r="B121" t="s">
        <v>239</v>
      </c>
      <c r="C121" t="s">
        <v>38</v>
      </c>
      <c r="D121" t="s">
        <v>83</v>
      </c>
      <c r="E121" t="s">
        <v>14</v>
      </c>
      <c r="F121" t="s">
        <v>192</v>
      </c>
      <c r="G121" t="s">
        <v>16</v>
      </c>
      <c r="H121" t="s">
        <v>21</v>
      </c>
      <c r="I121" t="s">
        <v>96</v>
      </c>
      <c r="J121">
        <v>1</v>
      </c>
      <c r="K121" s="5">
        <v>2499</v>
      </c>
      <c r="L121" s="4">
        <v>7.0000000000000007E-2</v>
      </c>
      <c r="M121" t="s">
        <v>81</v>
      </c>
      <c r="N121">
        <v>5</v>
      </c>
      <c r="O121">
        <v>3</v>
      </c>
      <c r="P121" s="5">
        <f t="shared" si="3"/>
        <v>2499</v>
      </c>
      <c r="Q121" s="5">
        <f t="shared" si="4"/>
        <v>2324.0699999999997</v>
      </c>
      <c r="R121" s="5">
        <f t="shared" si="5"/>
        <v>581.01749999999993</v>
      </c>
    </row>
    <row r="122" spans="1:18">
      <c r="A122" s="3">
        <v>46318</v>
      </c>
      <c r="B122" t="s">
        <v>240</v>
      </c>
      <c r="C122" t="s">
        <v>78</v>
      </c>
      <c r="D122" t="s">
        <v>79</v>
      </c>
      <c r="E122" t="s">
        <v>14</v>
      </c>
      <c r="F122" t="s">
        <v>139</v>
      </c>
      <c r="G122" t="s">
        <v>22</v>
      </c>
      <c r="H122" t="s">
        <v>21</v>
      </c>
      <c r="I122" t="s">
        <v>75</v>
      </c>
      <c r="J122">
        <v>2</v>
      </c>
      <c r="K122" s="5">
        <v>2999</v>
      </c>
      <c r="L122" s="4">
        <v>0.02</v>
      </c>
      <c r="M122" t="s">
        <v>85</v>
      </c>
      <c r="N122">
        <v>4</v>
      </c>
      <c r="O122">
        <v>3.5</v>
      </c>
      <c r="P122" s="5">
        <f t="shared" si="3"/>
        <v>5998</v>
      </c>
      <c r="Q122" s="5">
        <f t="shared" si="4"/>
        <v>5878.04</v>
      </c>
      <c r="R122" s="5">
        <f t="shared" si="5"/>
        <v>1498.9002</v>
      </c>
    </row>
    <row r="123" spans="1:18">
      <c r="A123" s="3">
        <v>46301</v>
      </c>
      <c r="B123" t="s">
        <v>241</v>
      </c>
      <c r="C123" t="s">
        <v>24</v>
      </c>
      <c r="D123" t="s">
        <v>105</v>
      </c>
      <c r="E123" t="s">
        <v>20</v>
      </c>
      <c r="F123" t="s">
        <v>106</v>
      </c>
      <c r="G123" t="s">
        <v>16</v>
      </c>
      <c r="H123" t="s">
        <v>15</v>
      </c>
      <c r="I123" t="s">
        <v>109</v>
      </c>
      <c r="J123">
        <v>2</v>
      </c>
      <c r="K123" s="5">
        <v>1799</v>
      </c>
      <c r="L123" s="4">
        <v>0.15</v>
      </c>
      <c r="M123" t="s">
        <v>97</v>
      </c>
      <c r="N123">
        <v>4</v>
      </c>
      <c r="O123">
        <v>4.5</v>
      </c>
      <c r="P123" s="5">
        <f t="shared" si="3"/>
        <v>3598</v>
      </c>
      <c r="Q123" s="5">
        <f t="shared" si="4"/>
        <v>3058.2999999999997</v>
      </c>
      <c r="R123" s="5">
        <f t="shared" si="5"/>
        <v>795.1579999999999</v>
      </c>
    </row>
    <row r="124" spans="1:18">
      <c r="A124" s="3">
        <v>46222</v>
      </c>
      <c r="B124" t="s">
        <v>242</v>
      </c>
      <c r="C124" t="s">
        <v>38</v>
      </c>
      <c r="D124" t="s">
        <v>83</v>
      </c>
      <c r="E124" t="s">
        <v>36</v>
      </c>
      <c r="F124" t="s">
        <v>155</v>
      </c>
      <c r="G124" t="s">
        <v>16</v>
      </c>
      <c r="H124" t="s">
        <v>21</v>
      </c>
      <c r="I124" t="s">
        <v>96</v>
      </c>
      <c r="J124">
        <v>1</v>
      </c>
      <c r="K124" s="5">
        <v>899</v>
      </c>
      <c r="L124" s="4">
        <v>0.02</v>
      </c>
      <c r="M124" t="s">
        <v>81</v>
      </c>
      <c r="N124">
        <v>5</v>
      </c>
      <c r="O124">
        <v>4.5</v>
      </c>
      <c r="P124" s="5">
        <f t="shared" si="3"/>
        <v>899</v>
      </c>
      <c r="Q124" s="5">
        <f t="shared" si="4"/>
        <v>881.02</v>
      </c>
      <c r="R124" s="5">
        <f t="shared" si="5"/>
        <v>233.47030000000001</v>
      </c>
    </row>
    <row r="125" spans="1:18">
      <c r="A125" s="3">
        <v>46342</v>
      </c>
      <c r="B125" t="s">
        <v>243</v>
      </c>
      <c r="C125" t="s">
        <v>38</v>
      </c>
      <c r="D125" t="s">
        <v>83</v>
      </c>
      <c r="E125" t="s">
        <v>36</v>
      </c>
      <c r="F125" t="s">
        <v>95</v>
      </c>
      <c r="G125" t="s">
        <v>16</v>
      </c>
      <c r="H125" t="s">
        <v>27</v>
      </c>
      <c r="I125" t="s">
        <v>135</v>
      </c>
      <c r="J125">
        <v>5</v>
      </c>
      <c r="K125" s="5">
        <v>999</v>
      </c>
      <c r="L125" s="4">
        <v>0.05</v>
      </c>
      <c r="M125" t="s">
        <v>76</v>
      </c>
      <c r="N125">
        <v>4</v>
      </c>
      <c r="O125">
        <v>3</v>
      </c>
      <c r="P125" s="5">
        <f t="shared" si="3"/>
        <v>4995</v>
      </c>
      <c r="Q125" s="5">
        <f t="shared" si="4"/>
        <v>4745.25</v>
      </c>
      <c r="R125" s="5">
        <f t="shared" si="5"/>
        <v>1281.2175</v>
      </c>
    </row>
    <row r="126" spans="1:18">
      <c r="A126" s="3">
        <v>46179</v>
      </c>
      <c r="B126" t="s">
        <v>244</v>
      </c>
      <c r="C126" t="s">
        <v>30</v>
      </c>
      <c r="D126" t="s">
        <v>144</v>
      </c>
      <c r="E126" t="s">
        <v>26</v>
      </c>
      <c r="F126" t="s">
        <v>84</v>
      </c>
      <c r="G126" t="s">
        <v>28</v>
      </c>
      <c r="H126" t="s">
        <v>15</v>
      </c>
      <c r="I126" t="s">
        <v>109</v>
      </c>
      <c r="J126">
        <v>1</v>
      </c>
      <c r="K126" s="5">
        <v>4499</v>
      </c>
      <c r="L126" s="4">
        <v>0.15</v>
      </c>
      <c r="M126" t="s">
        <v>85</v>
      </c>
      <c r="N126">
        <v>2</v>
      </c>
      <c r="O126">
        <v>5</v>
      </c>
      <c r="P126" s="5">
        <f t="shared" si="3"/>
        <v>4499</v>
      </c>
      <c r="Q126" s="5">
        <f t="shared" si="4"/>
        <v>3824.15</v>
      </c>
      <c r="R126" s="5">
        <f t="shared" si="5"/>
        <v>917.79599999999994</v>
      </c>
    </row>
    <row r="127" spans="1:18">
      <c r="A127" s="3">
        <v>46235</v>
      </c>
      <c r="B127" t="s">
        <v>245</v>
      </c>
      <c r="C127" t="s">
        <v>24</v>
      </c>
      <c r="D127" t="s">
        <v>105</v>
      </c>
      <c r="E127" t="s">
        <v>32</v>
      </c>
      <c r="F127" t="s">
        <v>125</v>
      </c>
      <c r="G127" t="s">
        <v>28</v>
      </c>
      <c r="H127" t="s">
        <v>15</v>
      </c>
      <c r="I127" t="s">
        <v>75</v>
      </c>
      <c r="J127">
        <v>1</v>
      </c>
      <c r="K127" s="5">
        <v>1299</v>
      </c>
      <c r="L127" s="4">
        <v>0.02</v>
      </c>
      <c r="M127" t="s">
        <v>85</v>
      </c>
      <c r="N127">
        <v>4</v>
      </c>
      <c r="O127">
        <v>3.5</v>
      </c>
      <c r="P127" s="5">
        <f t="shared" si="3"/>
        <v>1299</v>
      </c>
      <c r="Q127" s="5">
        <f t="shared" si="4"/>
        <v>1273.02</v>
      </c>
      <c r="R127" s="5">
        <f t="shared" si="5"/>
        <v>311.88990000000001</v>
      </c>
    </row>
    <row r="128" spans="1:18">
      <c r="A128" s="3">
        <v>46126</v>
      </c>
      <c r="B128" t="s">
        <v>246</v>
      </c>
      <c r="C128" t="s">
        <v>78</v>
      </c>
      <c r="D128" t="s">
        <v>79</v>
      </c>
      <c r="E128" t="s">
        <v>20</v>
      </c>
      <c r="F128" t="s">
        <v>111</v>
      </c>
      <c r="G128" t="s">
        <v>16</v>
      </c>
      <c r="H128" t="s">
        <v>15</v>
      </c>
      <c r="I128" t="s">
        <v>135</v>
      </c>
      <c r="J128">
        <v>1</v>
      </c>
      <c r="K128" s="5">
        <v>2799</v>
      </c>
      <c r="L128" s="4">
        <v>0.05</v>
      </c>
      <c r="M128" t="s">
        <v>81</v>
      </c>
      <c r="N128">
        <v>3</v>
      </c>
      <c r="O128">
        <v>5</v>
      </c>
      <c r="P128" s="5">
        <f t="shared" si="3"/>
        <v>2799</v>
      </c>
      <c r="Q128" s="5">
        <f t="shared" si="4"/>
        <v>2659.0499999999997</v>
      </c>
      <c r="R128" s="5">
        <f t="shared" si="5"/>
        <v>664.76249999999993</v>
      </c>
    </row>
    <row r="129" spans="1:18">
      <c r="A129" s="3">
        <v>46233</v>
      </c>
      <c r="B129" t="s">
        <v>247</v>
      </c>
      <c r="C129" t="s">
        <v>78</v>
      </c>
      <c r="D129" t="s">
        <v>79</v>
      </c>
      <c r="E129" t="s">
        <v>26</v>
      </c>
      <c r="F129" t="s">
        <v>113</v>
      </c>
      <c r="G129" t="s">
        <v>16</v>
      </c>
      <c r="H129" t="s">
        <v>21</v>
      </c>
      <c r="I129" t="s">
        <v>69</v>
      </c>
      <c r="J129">
        <v>3</v>
      </c>
      <c r="K129" s="5">
        <v>2299</v>
      </c>
      <c r="L129" s="4">
        <v>0.02</v>
      </c>
      <c r="M129" t="s">
        <v>76</v>
      </c>
      <c r="N129">
        <v>6</v>
      </c>
      <c r="O129">
        <v>4.5</v>
      </c>
      <c r="P129" s="5">
        <f t="shared" si="3"/>
        <v>6897</v>
      </c>
      <c r="Q129" s="5">
        <f t="shared" si="4"/>
        <v>6759.0599999999995</v>
      </c>
      <c r="R129" s="5">
        <f t="shared" si="5"/>
        <v>1723.5602999999999</v>
      </c>
    </row>
    <row r="130" spans="1:18">
      <c r="A130" s="3">
        <v>46242</v>
      </c>
      <c r="B130" t="s">
        <v>248</v>
      </c>
      <c r="C130" t="s">
        <v>18</v>
      </c>
      <c r="D130" t="s">
        <v>115</v>
      </c>
      <c r="E130" t="s">
        <v>26</v>
      </c>
      <c r="F130" t="s">
        <v>116</v>
      </c>
      <c r="G130" t="s">
        <v>28</v>
      </c>
      <c r="H130" t="s">
        <v>27</v>
      </c>
      <c r="I130" t="s">
        <v>69</v>
      </c>
      <c r="J130">
        <v>1</v>
      </c>
      <c r="K130" s="5">
        <v>899</v>
      </c>
      <c r="L130" s="4">
        <v>0.05</v>
      </c>
      <c r="M130" t="s">
        <v>117</v>
      </c>
      <c r="N130">
        <v>5</v>
      </c>
      <c r="O130">
        <v>4.5</v>
      </c>
      <c r="P130" s="5">
        <f t="shared" ref="P130:P193" si="6">J130*K130</f>
        <v>899</v>
      </c>
      <c r="Q130" s="5">
        <f t="shared" ref="Q130:Q193" si="7">P130*(1-L130)</f>
        <v>854.05</v>
      </c>
      <c r="R130" s="5">
        <f t="shared" ref="R130:R193" si="8">Q130*(0.24+MOD(ROW(),7)*0.005)</f>
        <v>222.053</v>
      </c>
    </row>
    <row r="131" spans="1:18">
      <c r="A131" s="3">
        <v>46064</v>
      </c>
      <c r="B131" t="s">
        <v>249</v>
      </c>
      <c r="C131" t="s">
        <v>78</v>
      </c>
      <c r="D131" t="s">
        <v>79</v>
      </c>
      <c r="E131" t="s">
        <v>14</v>
      </c>
      <c r="F131" t="s">
        <v>196</v>
      </c>
      <c r="G131" t="s">
        <v>16</v>
      </c>
      <c r="H131" t="s">
        <v>27</v>
      </c>
      <c r="I131" t="s">
        <v>69</v>
      </c>
      <c r="J131">
        <v>2</v>
      </c>
      <c r="K131" s="5">
        <v>1499</v>
      </c>
      <c r="L131" s="4">
        <v>0.12</v>
      </c>
      <c r="M131" t="s">
        <v>91</v>
      </c>
      <c r="N131">
        <v>3</v>
      </c>
      <c r="O131">
        <v>5</v>
      </c>
      <c r="P131" s="5">
        <f t="shared" si="6"/>
        <v>2998</v>
      </c>
      <c r="Q131" s="5">
        <f t="shared" si="7"/>
        <v>2638.2400000000002</v>
      </c>
      <c r="R131" s="5">
        <f t="shared" si="8"/>
        <v>699.13360000000011</v>
      </c>
    </row>
    <row r="132" spans="1:18">
      <c r="A132" s="3">
        <v>46265</v>
      </c>
      <c r="B132" t="s">
        <v>250</v>
      </c>
      <c r="C132" t="s">
        <v>44</v>
      </c>
      <c r="D132" t="s">
        <v>165</v>
      </c>
      <c r="E132" t="s">
        <v>14</v>
      </c>
      <c r="F132" t="s">
        <v>139</v>
      </c>
      <c r="G132" t="s">
        <v>16</v>
      </c>
      <c r="H132" t="s">
        <v>15</v>
      </c>
      <c r="I132" t="s">
        <v>96</v>
      </c>
      <c r="J132">
        <v>4</v>
      </c>
      <c r="K132" s="5">
        <v>2999</v>
      </c>
      <c r="L132" s="4">
        <v>0.05</v>
      </c>
      <c r="M132" t="s">
        <v>97</v>
      </c>
      <c r="N132">
        <v>4</v>
      </c>
      <c r="O132">
        <v>4</v>
      </c>
      <c r="P132" s="5">
        <f t="shared" si="6"/>
        <v>11996</v>
      </c>
      <c r="Q132" s="5">
        <f t="shared" si="7"/>
        <v>11396.199999999999</v>
      </c>
      <c r="R132" s="5">
        <f t="shared" si="8"/>
        <v>3076.9739999999997</v>
      </c>
    </row>
    <row r="133" spans="1:18">
      <c r="A133" s="3">
        <v>46132</v>
      </c>
      <c r="B133" t="s">
        <v>251</v>
      </c>
      <c r="C133" t="s">
        <v>47</v>
      </c>
      <c r="D133" t="s">
        <v>87</v>
      </c>
      <c r="E133" t="s">
        <v>14</v>
      </c>
      <c r="F133" t="s">
        <v>192</v>
      </c>
      <c r="G133" t="s">
        <v>22</v>
      </c>
      <c r="H133" t="s">
        <v>21</v>
      </c>
      <c r="I133" t="s">
        <v>109</v>
      </c>
      <c r="J133">
        <v>1</v>
      </c>
      <c r="K133" s="5">
        <v>2499</v>
      </c>
      <c r="L133" s="4">
        <v>0.1</v>
      </c>
      <c r="M133" t="s">
        <v>70</v>
      </c>
      <c r="N133">
        <v>5</v>
      </c>
      <c r="O133">
        <v>5</v>
      </c>
      <c r="P133" s="5">
        <f t="shared" si="6"/>
        <v>2499</v>
      </c>
      <c r="Q133" s="5">
        <f t="shared" si="7"/>
        <v>2249.1</v>
      </c>
      <c r="R133" s="5">
        <f t="shared" si="8"/>
        <v>539.78399999999999</v>
      </c>
    </row>
    <row r="134" spans="1:18">
      <c r="A134" s="3">
        <v>46090</v>
      </c>
      <c r="B134" t="s">
        <v>252</v>
      </c>
      <c r="C134" t="s">
        <v>34</v>
      </c>
      <c r="D134" t="s">
        <v>120</v>
      </c>
      <c r="E134" t="s">
        <v>36</v>
      </c>
      <c r="F134" t="s">
        <v>103</v>
      </c>
      <c r="G134" t="s">
        <v>22</v>
      </c>
      <c r="H134" t="s">
        <v>21</v>
      </c>
      <c r="I134" t="s">
        <v>96</v>
      </c>
      <c r="J134">
        <v>1</v>
      </c>
      <c r="K134" s="5">
        <v>499</v>
      </c>
      <c r="L134" s="4">
        <v>0.15</v>
      </c>
      <c r="M134" t="s">
        <v>70</v>
      </c>
      <c r="N134">
        <v>4</v>
      </c>
      <c r="O134">
        <v>4</v>
      </c>
      <c r="P134" s="5">
        <f t="shared" si="6"/>
        <v>499</v>
      </c>
      <c r="Q134" s="5">
        <f t="shared" si="7"/>
        <v>424.15</v>
      </c>
      <c r="R134" s="5">
        <f t="shared" si="8"/>
        <v>103.91674999999999</v>
      </c>
    </row>
    <row r="135" spans="1:18">
      <c r="A135" s="3">
        <v>46226</v>
      </c>
      <c r="B135" t="s">
        <v>253</v>
      </c>
      <c r="C135" t="s">
        <v>44</v>
      </c>
      <c r="D135" t="s">
        <v>165</v>
      </c>
      <c r="E135" t="s">
        <v>26</v>
      </c>
      <c r="F135" t="s">
        <v>80</v>
      </c>
      <c r="G135" t="s">
        <v>28</v>
      </c>
      <c r="H135" t="s">
        <v>27</v>
      </c>
      <c r="I135" t="s">
        <v>96</v>
      </c>
      <c r="J135">
        <v>2</v>
      </c>
      <c r="K135" s="5">
        <v>1499</v>
      </c>
      <c r="L135" s="4">
        <v>0.12</v>
      </c>
      <c r="M135" t="s">
        <v>85</v>
      </c>
      <c r="N135">
        <v>5</v>
      </c>
      <c r="O135">
        <v>5</v>
      </c>
      <c r="P135" s="5">
        <f t="shared" si="6"/>
        <v>2998</v>
      </c>
      <c r="Q135" s="5">
        <f t="shared" si="7"/>
        <v>2638.2400000000002</v>
      </c>
      <c r="R135" s="5">
        <f t="shared" si="8"/>
        <v>659.56000000000006</v>
      </c>
    </row>
    <row r="136" spans="1:18">
      <c r="A136" s="3">
        <v>46145</v>
      </c>
      <c r="B136" t="s">
        <v>254</v>
      </c>
      <c r="C136" t="s">
        <v>93</v>
      </c>
      <c r="D136" t="s">
        <v>94</v>
      </c>
      <c r="E136" t="s">
        <v>26</v>
      </c>
      <c r="F136" t="s">
        <v>113</v>
      </c>
      <c r="G136" t="s">
        <v>28</v>
      </c>
      <c r="H136" t="s">
        <v>21</v>
      </c>
      <c r="I136" t="s">
        <v>109</v>
      </c>
      <c r="J136">
        <v>1</v>
      </c>
      <c r="K136" s="5">
        <v>2299</v>
      </c>
      <c r="L136" s="4">
        <v>0.02</v>
      </c>
      <c r="M136" t="s">
        <v>81</v>
      </c>
      <c r="N136">
        <v>3</v>
      </c>
      <c r="O136">
        <v>4</v>
      </c>
      <c r="P136" s="5">
        <f t="shared" si="6"/>
        <v>2299</v>
      </c>
      <c r="Q136" s="5">
        <f t="shared" si="7"/>
        <v>2253.02</v>
      </c>
      <c r="R136" s="5">
        <f t="shared" si="8"/>
        <v>574.52009999999996</v>
      </c>
    </row>
    <row r="137" spans="1:18">
      <c r="A137" s="3">
        <v>46138</v>
      </c>
      <c r="B137" t="s">
        <v>255</v>
      </c>
      <c r="C137" t="s">
        <v>38</v>
      </c>
      <c r="D137" t="s">
        <v>83</v>
      </c>
      <c r="E137" t="s">
        <v>36</v>
      </c>
      <c r="F137" t="s">
        <v>155</v>
      </c>
      <c r="G137" t="s">
        <v>16</v>
      </c>
      <c r="H137" t="s">
        <v>21</v>
      </c>
      <c r="I137" t="s">
        <v>135</v>
      </c>
      <c r="J137">
        <v>2</v>
      </c>
      <c r="K137" s="5">
        <v>899</v>
      </c>
      <c r="L137" s="4">
        <v>7.0000000000000007E-2</v>
      </c>
      <c r="M137" t="s">
        <v>81</v>
      </c>
      <c r="N137">
        <v>4</v>
      </c>
      <c r="O137">
        <v>4</v>
      </c>
      <c r="P137" s="5">
        <f t="shared" si="6"/>
        <v>1798</v>
      </c>
      <c r="Q137" s="5">
        <f t="shared" si="7"/>
        <v>1672.1399999999999</v>
      </c>
      <c r="R137" s="5">
        <f t="shared" si="8"/>
        <v>434.75639999999999</v>
      </c>
    </row>
    <row r="138" spans="1:18">
      <c r="A138" s="3">
        <v>46260</v>
      </c>
      <c r="B138" t="s">
        <v>256</v>
      </c>
      <c r="C138" t="s">
        <v>41</v>
      </c>
      <c r="D138" t="s">
        <v>67</v>
      </c>
      <c r="E138" t="s">
        <v>14</v>
      </c>
      <c r="F138" t="s">
        <v>196</v>
      </c>
      <c r="G138" t="s">
        <v>22</v>
      </c>
      <c r="H138" t="s">
        <v>27</v>
      </c>
      <c r="I138" t="s">
        <v>135</v>
      </c>
      <c r="J138">
        <v>3</v>
      </c>
      <c r="K138" s="5">
        <v>1499</v>
      </c>
      <c r="L138" s="4">
        <v>0.1</v>
      </c>
      <c r="M138" t="s">
        <v>70</v>
      </c>
      <c r="N138">
        <v>2</v>
      </c>
      <c r="O138">
        <v>4.5</v>
      </c>
      <c r="P138" s="5">
        <f t="shared" si="6"/>
        <v>4497</v>
      </c>
      <c r="Q138" s="5">
        <f t="shared" si="7"/>
        <v>4047.3</v>
      </c>
      <c r="R138" s="5">
        <f t="shared" si="8"/>
        <v>1072.5345000000002</v>
      </c>
    </row>
    <row r="139" spans="1:18">
      <c r="A139" s="3">
        <v>46166</v>
      </c>
      <c r="B139" t="s">
        <v>257</v>
      </c>
      <c r="C139" t="s">
        <v>24</v>
      </c>
      <c r="D139" t="s">
        <v>105</v>
      </c>
      <c r="E139" t="s">
        <v>14</v>
      </c>
      <c r="F139" t="s">
        <v>108</v>
      </c>
      <c r="G139" t="s">
        <v>22</v>
      </c>
      <c r="H139" t="s">
        <v>27</v>
      </c>
      <c r="I139" t="s">
        <v>135</v>
      </c>
      <c r="J139">
        <v>3</v>
      </c>
      <c r="K139" s="5">
        <v>1999</v>
      </c>
      <c r="L139" s="4">
        <v>0.02</v>
      </c>
      <c r="M139" t="s">
        <v>97</v>
      </c>
      <c r="N139">
        <v>3</v>
      </c>
      <c r="O139">
        <v>4.5</v>
      </c>
      <c r="P139" s="5">
        <f t="shared" si="6"/>
        <v>5997</v>
      </c>
      <c r="Q139" s="5">
        <f t="shared" si="7"/>
        <v>5877.0599999999995</v>
      </c>
      <c r="R139" s="5">
        <f t="shared" si="8"/>
        <v>1586.8062</v>
      </c>
    </row>
    <row r="140" spans="1:18">
      <c r="A140" s="3">
        <v>46029</v>
      </c>
      <c r="B140" t="s">
        <v>258</v>
      </c>
      <c r="C140" t="s">
        <v>78</v>
      </c>
      <c r="D140" t="s">
        <v>79</v>
      </c>
      <c r="E140" t="s">
        <v>26</v>
      </c>
      <c r="F140" t="s">
        <v>80</v>
      </c>
      <c r="G140" t="s">
        <v>22</v>
      </c>
      <c r="H140" t="s">
        <v>21</v>
      </c>
      <c r="I140" t="s">
        <v>96</v>
      </c>
      <c r="J140">
        <v>2</v>
      </c>
      <c r="K140" s="5">
        <v>1499</v>
      </c>
      <c r="L140" s="4">
        <v>0.05</v>
      </c>
      <c r="M140" t="s">
        <v>81</v>
      </c>
      <c r="N140">
        <v>4</v>
      </c>
      <c r="O140">
        <v>3.5</v>
      </c>
      <c r="P140" s="5">
        <f t="shared" si="6"/>
        <v>2998</v>
      </c>
      <c r="Q140" s="5">
        <f t="shared" si="7"/>
        <v>2848.1</v>
      </c>
      <c r="R140" s="5">
        <f t="shared" si="8"/>
        <v>683.54399999999998</v>
      </c>
    </row>
    <row r="141" spans="1:18">
      <c r="A141" s="3">
        <v>46159</v>
      </c>
      <c r="B141" t="s">
        <v>259</v>
      </c>
      <c r="C141" t="s">
        <v>44</v>
      </c>
      <c r="D141" t="s">
        <v>165</v>
      </c>
      <c r="E141" t="s">
        <v>14</v>
      </c>
      <c r="F141" t="s">
        <v>122</v>
      </c>
      <c r="G141" t="s">
        <v>28</v>
      </c>
      <c r="H141" t="s">
        <v>21</v>
      </c>
      <c r="I141" t="s">
        <v>96</v>
      </c>
      <c r="J141">
        <v>1</v>
      </c>
      <c r="K141" s="5">
        <v>3999</v>
      </c>
      <c r="L141" s="4">
        <v>0</v>
      </c>
      <c r="M141" t="s">
        <v>91</v>
      </c>
      <c r="N141">
        <v>4</v>
      </c>
      <c r="O141">
        <v>3</v>
      </c>
      <c r="P141" s="5">
        <f t="shared" si="6"/>
        <v>3999</v>
      </c>
      <c r="Q141" s="5">
        <f t="shared" si="7"/>
        <v>3999</v>
      </c>
      <c r="R141" s="5">
        <f t="shared" si="8"/>
        <v>979.755</v>
      </c>
    </row>
    <row r="142" spans="1:18">
      <c r="A142" s="3">
        <v>46051</v>
      </c>
      <c r="B142" t="s">
        <v>260</v>
      </c>
      <c r="C142" t="s">
        <v>18</v>
      </c>
      <c r="D142" t="s">
        <v>115</v>
      </c>
      <c r="E142" t="s">
        <v>14</v>
      </c>
      <c r="F142" t="s">
        <v>139</v>
      </c>
      <c r="G142" t="s">
        <v>16</v>
      </c>
      <c r="H142" t="s">
        <v>21</v>
      </c>
      <c r="I142" t="s">
        <v>75</v>
      </c>
      <c r="J142">
        <v>2</v>
      </c>
      <c r="K142" s="5">
        <v>2999</v>
      </c>
      <c r="L142" s="4">
        <v>0</v>
      </c>
      <c r="M142" t="s">
        <v>91</v>
      </c>
      <c r="N142">
        <v>4</v>
      </c>
      <c r="O142">
        <v>3.5</v>
      </c>
      <c r="P142" s="5">
        <f t="shared" si="6"/>
        <v>5998</v>
      </c>
      <c r="Q142" s="5">
        <f t="shared" si="7"/>
        <v>5998</v>
      </c>
      <c r="R142" s="5">
        <f t="shared" si="8"/>
        <v>1499.5</v>
      </c>
    </row>
    <row r="143" spans="1:18">
      <c r="A143" s="3">
        <v>46049</v>
      </c>
      <c r="B143" t="s">
        <v>261</v>
      </c>
      <c r="C143" t="s">
        <v>34</v>
      </c>
      <c r="D143" t="s">
        <v>120</v>
      </c>
      <c r="E143" t="s">
        <v>36</v>
      </c>
      <c r="F143" t="s">
        <v>129</v>
      </c>
      <c r="G143" t="s">
        <v>16</v>
      </c>
      <c r="H143" t="s">
        <v>21</v>
      </c>
      <c r="I143" t="s">
        <v>96</v>
      </c>
      <c r="J143">
        <v>2</v>
      </c>
      <c r="K143" s="5">
        <v>699</v>
      </c>
      <c r="L143" s="4">
        <v>0.02</v>
      </c>
      <c r="M143" t="s">
        <v>91</v>
      </c>
      <c r="N143">
        <v>2</v>
      </c>
      <c r="O143">
        <v>4</v>
      </c>
      <c r="P143" s="5">
        <f t="shared" si="6"/>
        <v>1398</v>
      </c>
      <c r="Q143" s="5">
        <f t="shared" si="7"/>
        <v>1370.04</v>
      </c>
      <c r="R143" s="5">
        <f t="shared" si="8"/>
        <v>349.36020000000002</v>
      </c>
    </row>
    <row r="144" spans="1:18">
      <c r="A144" s="3">
        <v>46280</v>
      </c>
      <c r="B144" t="s">
        <v>262</v>
      </c>
      <c r="C144" t="s">
        <v>47</v>
      </c>
      <c r="D144" t="s">
        <v>87</v>
      </c>
      <c r="E144" t="s">
        <v>32</v>
      </c>
      <c r="F144" t="s">
        <v>90</v>
      </c>
      <c r="G144" t="s">
        <v>22</v>
      </c>
      <c r="H144" t="s">
        <v>27</v>
      </c>
      <c r="I144" t="s">
        <v>96</v>
      </c>
      <c r="J144">
        <v>2</v>
      </c>
      <c r="K144" s="5">
        <v>1599</v>
      </c>
      <c r="L144" s="4">
        <v>0</v>
      </c>
      <c r="M144" t="s">
        <v>81</v>
      </c>
      <c r="N144">
        <v>5</v>
      </c>
      <c r="O144">
        <v>4</v>
      </c>
      <c r="P144" s="5">
        <f t="shared" si="6"/>
        <v>3198</v>
      </c>
      <c r="Q144" s="5">
        <f t="shared" si="7"/>
        <v>3198</v>
      </c>
      <c r="R144" s="5">
        <f t="shared" si="8"/>
        <v>831.48</v>
      </c>
    </row>
    <row r="145" spans="1:18">
      <c r="A145" s="3">
        <v>46145</v>
      </c>
      <c r="B145" t="s">
        <v>263</v>
      </c>
      <c r="C145" t="s">
        <v>41</v>
      </c>
      <c r="D145" t="s">
        <v>67</v>
      </c>
      <c r="E145" t="s">
        <v>14</v>
      </c>
      <c r="F145" t="s">
        <v>192</v>
      </c>
      <c r="G145" t="s">
        <v>16</v>
      </c>
      <c r="H145" t="s">
        <v>27</v>
      </c>
      <c r="I145" t="s">
        <v>109</v>
      </c>
      <c r="J145">
        <v>1</v>
      </c>
      <c r="K145" s="5">
        <v>2499</v>
      </c>
      <c r="L145" s="4">
        <v>0</v>
      </c>
      <c r="M145" t="s">
        <v>91</v>
      </c>
      <c r="N145">
        <v>1</v>
      </c>
      <c r="O145">
        <v>4</v>
      </c>
      <c r="P145" s="5">
        <f t="shared" si="6"/>
        <v>2499</v>
      </c>
      <c r="Q145" s="5">
        <f t="shared" si="7"/>
        <v>2499</v>
      </c>
      <c r="R145" s="5">
        <f t="shared" si="8"/>
        <v>662.23500000000001</v>
      </c>
    </row>
    <row r="146" spans="1:18">
      <c r="A146" s="3">
        <v>46345</v>
      </c>
      <c r="B146" t="s">
        <v>264</v>
      </c>
      <c r="C146" t="s">
        <v>34</v>
      </c>
      <c r="D146" t="s">
        <v>120</v>
      </c>
      <c r="E146" t="s">
        <v>14</v>
      </c>
      <c r="F146" t="s">
        <v>192</v>
      </c>
      <c r="G146" t="s">
        <v>16</v>
      </c>
      <c r="H146" t="s">
        <v>21</v>
      </c>
      <c r="I146" t="s">
        <v>75</v>
      </c>
      <c r="J146">
        <v>1</v>
      </c>
      <c r="K146" s="5">
        <v>2499</v>
      </c>
      <c r="L146" s="4">
        <v>7.0000000000000007E-2</v>
      </c>
      <c r="M146" t="s">
        <v>70</v>
      </c>
      <c r="N146">
        <v>3</v>
      </c>
      <c r="O146">
        <v>4</v>
      </c>
      <c r="P146" s="5">
        <f t="shared" si="6"/>
        <v>2499</v>
      </c>
      <c r="Q146" s="5">
        <f t="shared" si="7"/>
        <v>2324.0699999999997</v>
      </c>
      <c r="R146" s="5">
        <f t="shared" si="8"/>
        <v>627.49889999999994</v>
      </c>
    </row>
    <row r="147" spans="1:18">
      <c r="A147" s="3">
        <v>46202</v>
      </c>
      <c r="B147" t="s">
        <v>265</v>
      </c>
      <c r="C147" t="s">
        <v>30</v>
      </c>
      <c r="D147" t="s">
        <v>144</v>
      </c>
      <c r="E147" t="s">
        <v>36</v>
      </c>
      <c r="F147" t="s">
        <v>129</v>
      </c>
      <c r="G147" t="s">
        <v>16</v>
      </c>
      <c r="H147" t="s">
        <v>21</v>
      </c>
      <c r="I147" t="s">
        <v>96</v>
      </c>
      <c r="J147">
        <v>4</v>
      </c>
      <c r="K147" s="5">
        <v>699</v>
      </c>
      <c r="L147" s="4">
        <v>0</v>
      </c>
      <c r="M147" t="s">
        <v>91</v>
      </c>
      <c r="N147">
        <v>3</v>
      </c>
      <c r="O147">
        <v>3.5</v>
      </c>
      <c r="P147" s="5">
        <f t="shared" si="6"/>
        <v>2796</v>
      </c>
      <c r="Q147" s="5">
        <f t="shared" si="7"/>
        <v>2796</v>
      </c>
      <c r="R147" s="5">
        <f t="shared" si="8"/>
        <v>671.04</v>
      </c>
    </row>
    <row r="148" spans="1:18">
      <c r="A148" s="3">
        <v>46099</v>
      </c>
      <c r="B148" t="s">
        <v>266</v>
      </c>
      <c r="C148" t="s">
        <v>72</v>
      </c>
      <c r="D148" t="s">
        <v>73</v>
      </c>
      <c r="E148" t="s">
        <v>32</v>
      </c>
      <c r="F148" t="s">
        <v>159</v>
      </c>
      <c r="G148" t="s">
        <v>22</v>
      </c>
      <c r="H148" t="s">
        <v>27</v>
      </c>
      <c r="I148" t="s">
        <v>109</v>
      </c>
      <c r="J148">
        <v>1</v>
      </c>
      <c r="K148" s="5">
        <v>2499</v>
      </c>
      <c r="L148" s="4">
        <v>0.05</v>
      </c>
      <c r="M148" t="s">
        <v>123</v>
      </c>
      <c r="N148">
        <v>2</v>
      </c>
      <c r="O148">
        <v>5</v>
      </c>
      <c r="P148" s="5">
        <f t="shared" si="6"/>
        <v>2499</v>
      </c>
      <c r="Q148" s="5">
        <f t="shared" si="7"/>
        <v>2374.0499999999997</v>
      </c>
      <c r="R148" s="5">
        <f t="shared" si="8"/>
        <v>581.64224999999988</v>
      </c>
    </row>
    <row r="149" spans="1:18">
      <c r="A149" s="3">
        <v>46057</v>
      </c>
      <c r="B149" t="s">
        <v>267</v>
      </c>
      <c r="C149" t="s">
        <v>93</v>
      </c>
      <c r="D149" t="s">
        <v>94</v>
      </c>
      <c r="E149" t="s">
        <v>20</v>
      </c>
      <c r="F149" t="s">
        <v>153</v>
      </c>
      <c r="G149" t="s">
        <v>16</v>
      </c>
      <c r="H149" t="s">
        <v>21</v>
      </c>
      <c r="I149" t="s">
        <v>75</v>
      </c>
      <c r="J149">
        <v>2</v>
      </c>
      <c r="K149" s="5">
        <v>1999</v>
      </c>
      <c r="L149" s="4">
        <v>0.15</v>
      </c>
      <c r="M149" t="s">
        <v>70</v>
      </c>
      <c r="N149">
        <v>2</v>
      </c>
      <c r="O149">
        <v>4.5</v>
      </c>
      <c r="P149" s="5">
        <f t="shared" si="6"/>
        <v>3998</v>
      </c>
      <c r="Q149" s="5">
        <f t="shared" si="7"/>
        <v>3398.2999999999997</v>
      </c>
      <c r="R149" s="5">
        <f t="shared" si="8"/>
        <v>849.57499999999993</v>
      </c>
    </row>
    <row r="150" spans="1:18">
      <c r="A150" s="3">
        <v>46084</v>
      </c>
      <c r="B150" t="s">
        <v>268</v>
      </c>
      <c r="C150" t="s">
        <v>30</v>
      </c>
      <c r="D150" t="s">
        <v>144</v>
      </c>
      <c r="E150" t="s">
        <v>36</v>
      </c>
      <c r="F150" t="s">
        <v>68</v>
      </c>
      <c r="G150" t="s">
        <v>22</v>
      </c>
      <c r="H150" t="s">
        <v>15</v>
      </c>
      <c r="I150" t="s">
        <v>96</v>
      </c>
      <c r="J150">
        <v>2</v>
      </c>
      <c r="K150" s="5">
        <v>599</v>
      </c>
      <c r="L150" s="4">
        <v>0.05</v>
      </c>
      <c r="M150" t="s">
        <v>76</v>
      </c>
      <c r="N150">
        <v>5</v>
      </c>
      <c r="O150">
        <v>4</v>
      </c>
      <c r="P150" s="5">
        <f t="shared" si="6"/>
        <v>1198</v>
      </c>
      <c r="Q150" s="5">
        <f t="shared" si="7"/>
        <v>1138.0999999999999</v>
      </c>
      <c r="R150" s="5">
        <f t="shared" si="8"/>
        <v>290.21549999999996</v>
      </c>
    </row>
    <row r="151" spans="1:18">
      <c r="A151" s="3">
        <v>46301</v>
      </c>
      <c r="B151" t="s">
        <v>269</v>
      </c>
      <c r="C151" t="s">
        <v>41</v>
      </c>
      <c r="D151" t="s">
        <v>67</v>
      </c>
      <c r="E151" t="s">
        <v>14</v>
      </c>
      <c r="F151" t="s">
        <v>196</v>
      </c>
      <c r="G151" t="s">
        <v>22</v>
      </c>
      <c r="H151" t="s">
        <v>15</v>
      </c>
      <c r="I151" t="s">
        <v>96</v>
      </c>
      <c r="J151">
        <v>1</v>
      </c>
      <c r="K151" s="5">
        <v>1499</v>
      </c>
      <c r="L151" s="4">
        <v>0.02</v>
      </c>
      <c r="M151" t="s">
        <v>76</v>
      </c>
      <c r="N151">
        <v>3</v>
      </c>
      <c r="O151">
        <v>5</v>
      </c>
      <c r="P151" s="5">
        <f t="shared" si="6"/>
        <v>1499</v>
      </c>
      <c r="Q151" s="5">
        <f t="shared" si="7"/>
        <v>1469.02</v>
      </c>
      <c r="R151" s="5">
        <f t="shared" si="8"/>
        <v>381.9452</v>
      </c>
    </row>
    <row r="152" spans="1:18">
      <c r="A152" s="3">
        <v>46098</v>
      </c>
      <c r="B152" t="s">
        <v>270</v>
      </c>
      <c r="C152" t="s">
        <v>41</v>
      </c>
      <c r="D152" t="s">
        <v>67</v>
      </c>
      <c r="E152" t="s">
        <v>36</v>
      </c>
      <c r="F152" t="s">
        <v>155</v>
      </c>
      <c r="G152" t="s">
        <v>28</v>
      </c>
      <c r="H152" t="s">
        <v>15</v>
      </c>
      <c r="I152" t="s">
        <v>109</v>
      </c>
      <c r="J152">
        <v>1</v>
      </c>
      <c r="K152" s="5">
        <v>899</v>
      </c>
      <c r="L152" s="4">
        <v>0.1</v>
      </c>
      <c r="M152" t="s">
        <v>85</v>
      </c>
      <c r="N152">
        <v>2</v>
      </c>
      <c r="O152">
        <v>5</v>
      </c>
      <c r="P152" s="5">
        <f t="shared" si="6"/>
        <v>899</v>
      </c>
      <c r="Q152" s="5">
        <f t="shared" si="7"/>
        <v>809.1</v>
      </c>
      <c r="R152" s="5">
        <f t="shared" si="8"/>
        <v>214.41150000000002</v>
      </c>
    </row>
    <row r="153" spans="1:18">
      <c r="A153" s="3">
        <v>46373</v>
      </c>
      <c r="B153" t="s">
        <v>271</v>
      </c>
      <c r="C153" t="s">
        <v>78</v>
      </c>
      <c r="D153" t="s">
        <v>79</v>
      </c>
      <c r="E153" t="s">
        <v>20</v>
      </c>
      <c r="F153" t="s">
        <v>106</v>
      </c>
      <c r="G153" t="s">
        <v>28</v>
      </c>
      <c r="H153" t="s">
        <v>21</v>
      </c>
      <c r="I153" t="s">
        <v>96</v>
      </c>
      <c r="J153">
        <v>1</v>
      </c>
      <c r="K153" s="5">
        <v>1799</v>
      </c>
      <c r="L153" s="4">
        <v>0.15</v>
      </c>
      <c r="M153" t="s">
        <v>123</v>
      </c>
      <c r="N153">
        <v>3</v>
      </c>
      <c r="O153">
        <v>4</v>
      </c>
      <c r="P153" s="5">
        <f t="shared" si="6"/>
        <v>1799</v>
      </c>
      <c r="Q153" s="5">
        <f t="shared" si="7"/>
        <v>1529.1499999999999</v>
      </c>
      <c r="R153" s="5">
        <f t="shared" si="8"/>
        <v>412.87049999999999</v>
      </c>
    </row>
    <row r="154" spans="1:18">
      <c r="A154" s="3">
        <v>46035</v>
      </c>
      <c r="B154" t="s">
        <v>272</v>
      </c>
      <c r="C154" t="s">
        <v>78</v>
      </c>
      <c r="D154" t="s">
        <v>79</v>
      </c>
      <c r="E154" t="s">
        <v>36</v>
      </c>
      <c r="F154" t="s">
        <v>129</v>
      </c>
      <c r="G154" t="s">
        <v>28</v>
      </c>
      <c r="H154" t="s">
        <v>15</v>
      </c>
      <c r="I154" t="s">
        <v>135</v>
      </c>
      <c r="J154">
        <v>1</v>
      </c>
      <c r="K154" s="5">
        <v>699</v>
      </c>
      <c r="L154" s="4">
        <v>0.12</v>
      </c>
      <c r="M154" t="s">
        <v>123</v>
      </c>
      <c r="N154">
        <v>4</v>
      </c>
      <c r="O154">
        <v>3</v>
      </c>
      <c r="P154" s="5">
        <f t="shared" si="6"/>
        <v>699</v>
      </c>
      <c r="Q154" s="5">
        <f t="shared" si="7"/>
        <v>615.12</v>
      </c>
      <c r="R154" s="5">
        <f t="shared" si="8"/>
        <v>147.62879999999998</v>
      </c>
    </row>
    <row r="155" spans="1:18">
      <c r="A155" s="3">
        <v>46173</v>
      </c>
      <c r="B155" t="s">
        <v>273</v>
      </c>
      <c r="C155" t="s">
        <v>30</v>
      </c>
      <c r="D155" t="s">
        <v>144</v>
      </c>
      <c r="E155" t="s">
        <v>32</v>
      </c>
      <c r="F155" t="s">
        <v>74</v>
      </c>
      <c r="G155" t="s">
        <v>28</v>
      </c>
      <c r="H155" t="s">
        <v>15</v>
      </c>
      <c r="I155" t="s">
        <v>69</v>
      </c>
      <c r="J155">
        <v>2</v>
      </c>
      <c r="K155" s="5">
        <v>1899</v>
      </c>
      <c r="L155" s="4">
        <v>7.0000000000000007E-2</v>
      </c>
      <c r="M155" t="s">
        <v>117</v>
      </c>
      <c r="N155">
        <v>1</v>
      </c>
      <c r="O155">
        <v>3.5</v>
      </c>
      <c r="P155" s="5">
        <f t="shared" si="6"/>
        <v>3798</v>
      </c>
      <c r="Q155" s="5">
        <f t="shared" si="7"/>
        <v>3532.14</v>
      </c>
      <c r="R155" s="5">
        <f t="shared" si="8"/>
        <v>865.37429999999995</v>
      </c>
    </row>
    <row r="156" spans="1:18">
      <c r="A156" s="3">
        <v>46354</v>
      </c>
      <c r="B156" t="s">
        <v>274</v>
      </c>
      <c r="C156" t="s">
        <v>24</v>
      </c>
      <c r="D156" t="s">
        <v>105</v>
      </c>
      <c r="E156" t="s">
        <v>36</v>
      </c>
      <c r="F156" t="s">
        <v>68</v>
      </c>
      <c r="G156" t="s">
        <v>22</v>
      </c>
      <c r="H156" t="s">
        <v>15</v>
      </c>
      <c r="I156" t="s">
        <v>135</v>
      </c>
      <c r="J156">
        <v>2</v>
      </c>
      <c r="K156" s="5">
        <v>599</v>
      </c>
      <c r="L156" s="4">
        <v>0.1</v>
      </c>
      <c r="M156" t="s">
        <v>81</v>
      </c>
      <c r="N156">
        <v>3</v>
      </c>
      <c r="O156">
        <v>4.5</v>
      </c>
      <c r="P156" s="5">
        <f t="shared" si="6"/>
        <v>1198</v>
      </c>
      <c r="Q156" s="5">
        <f t="shared" si="7"/>
        <v>1078.2</v>
      </c>
      <c r="R156" s="5">
        <f t="shared" si="8"/>
        <v>269.55</v>
      </c>
    </row>
    <row r="157" spans="1:18">
      <c r="A157" s="3">
        <v>46297</v>
      </c>
      <c r="B157" t="s">
        <v>275</v>
      </c>
      <c r="C157" t="s">
        <v>18</v>
      </c>
      <c r="D157" t="s">
        <v>115</v>
      </c>
      <c r="E157" t="s">
        <v>14</v>
      </c>
      <c r="F157" t="s">
        <v>122</v>
      </c>
      <c r="G157" t="s">
        <v>16</v>
      </c>
      <c r="H157" t="s">
        <v>21</v>
      </c>
      <c r="I157" t="s">
        <v>109</v>
      </c>
      <c r="J157">
        <v>1</v>
      </c>
      <c r="K157" s="5">
        <v>3999</v>
      </c>
      <c r="L157" s="4">
        <v>0.12</v>
      </c>
      <c r="M157" t="s">
        <v>70</v>
      </c>
      <c r="N157">
        <v>4</v>
      </c>
      <c r="O157">
        <v>5</v>
      </c>
      <c r="P157" s="5">
        <f t="shared" si="6"/>
        <v>3999</v>
      </c>
      <c r="Q157" s="5">
        <f t="shared" si="7"/>
        <v>3519.12</v>
      </c>
      <c r="R157" s="5">
        <f t="shared" si="8"/>
        <v>897.37559999999996</v>
      </c>
    </row>
    <row r="158" spans="1:18">
      <c r="A158" s="3">
        <v>46246</v>
      </c>
      <c r="B158" t="s">
        <v>276</v>
      </c>
      <c r="C158" t="s">
        <v>93</v>
      </c>
      <c r="D158" t="s">
        <v>94</v>
      </c>
      <c r="E158" t="s">
        <v>20</v>
      </c>
      <c r="F158" t="s">
        <v>106</v>
      </c>
      <c r="G158" t="s">
        <v>16</v>
      </c>
      <c r="H158" t="s">
        <v>21</v>
      </c>
      <c r="I158" t="s">
        <v>96</v>
      </c>
      <c r="J158">
        <v>2</v>
      </c>
      <c r="K158" s="5">
        <v>1799</v>
      </c>
      <c r="L158" s="4">
        <v>0.15</v>
      </c>
      <c r="M158" t="s">
        <v>91</v>
      </c>
      <c r="N158">
        <v>4</v>
      </c>
      <c r="O158">
        <v>3.5</v>
      </c>
      <c r="P158" s="5">
        <f t="shared" si="6"/>
        <v>3598</v>
      </c>
      <c r="Q158" s="5">
        <f t="shared" si="7"/>
        <v>3058.2999999999997</v>
      </c>
      <c r="R158" s="5">
        <f t="shared" si="8"/>
        <v>795.1579999999999</v>
      </c>
    </row>
    <row r="159" spans="1:18">
      <c r="A159" s="3">
        <v>46375</v>
      </c>
      <c r="B159" t="s">
        <v>277</v>
      </c>
      <c r="C159" t="s">
        <v>72</v>
      </c>
      <c r="D159" t="s">
        <v>73</v>
      </c>
      <c r="E159" t="s">
        <v>32</v>
      </c>
      <c r="F159" t="s">
        <v>88</v>
      </c>
      <c r="G159" t="s">
        <v>28</v>
      </c>
      <c r="H159" t="s">
        <v>21</v>
      </c>
      <c r="I159" t="s">
        <v>96</v>
      </c>
      <c r="J159">
        <v>1</v>
      </c>
      <c r="K159" s="5">
        <v>799</v>
      </c>
      <c r="L159" s="4">
        <v>0.02</v>
      </c>
      <c r="M159" t="s">
        <v>91</v>
      </c>
      <c r="N159">
        <v>3</v>
      </c>
      <c r="O159">
        <v>3</v>
      </c>
      <c r="P159" s="5">
        <f t="shared" si="6"/>
        <v>799</v>
      </c>
      <c r="Q159" s="5">
        <f t="shared" si="7"/>
        <v>783.02</v>
      </c>
      <c r="R159" s="5">
        <f t="shared" si="8"/>
        <v>207.50030000000001</v>
      </c>
    </row>
    <row r="160" spans="1:18">
      <c r="A160" s="3">
        <v>46088</v>
      </c>
      <c r="B160" t="s">
        <v>278</v>
      </c>
      <c r="C160" t="s">
        <v>34</v>
      </c>
      <c r="D160" t="s">
        <v>120</v>
      </c>
      <c r="E160" t="s">
        <v>36</v>
      </c>
      <c r="F160" t="s">
        <v>155</v>
      </c>
      <c r="G160" t="s">
        <v>28</v>
      </c>
      <c r="H160" t="s">
        <v>21</v>
      </c>
      <c r="I160" t="s">
        <v>69</v>
      </c>
      <c r="J160">
        <v>5</v>
      </c>
      <c r="K160" s="5">
        <v>899</v>
      </c>
      <c r="L160" s="4">
        <v>0.12</v>
      </c>
      <c r="M160" t="s">
        <v>117</v>
      </c>
      <c r="N160">
        <v>2</v>
      </c>
      <c r="O160">
        <v>4</v>
      </c>
      <c r="P160" s="5">
        <f t="shared" si="6"/>
        <v>4495</v>
      </c>
      <c r="Q160" s="5">
        <f t="shared" si="7"/>
        <v>3955.6</v>
      </c>
      <c r="R160" s="5">
        <f t="shared" si="8"/>
        <v>1068.0119999999999</v>
      </c>
    </row>
    <row r="161" spans="1:18">
      <c r="A161" s="3">
        <v>46274</v>
      </c>
      <c r="B161" t="s">
        <v>279</v>
      </c>
      <c r="C161" t="s">
        <v>38</v>
      </c>
      <c r="D161" t="s">
        <v>83</v>
      </c>
      <c r="E161" t="s">
        <v>32</v>
      </c>
      <c r="F161" t="s">
        <v>125</v>
      </c>
      <c r="G161" t="s">
        <v>16</v>
      </c>
      <c r="H161" t="s">
        <v>15</v>
      </c>
      <c r="I161" t="s">
        <v>135</v>
      </c>
      <c r="J161">
        <v>3</v>
      </c>
      <c r="K161" s="5">
        <v>1299</v>
      </c>
      <c r="L161" s="4">
        <v>0</v>
      </c>
      <c r="M161" t="s">
        <v>81</v>
      </c>
      <c r="N161">
        <v>1</v>
      </c>
      <c r="O161">
        <v>4.5</v>
      </c>
      <c r="P161" s="5">
        <f t="shared" si="6"/>
        <v>3897</v>
      </c>
      <c r="Q161" s="5">
        <f t="shared" si="7"/>
        <v>3897</v>
      </c>
      <c r="R161" s="5">
        <f t="shared" si="8"/>
        <v>935.28</v>
      </c>
    </row>
    <row r="162" spans="1:18">
      <c r="A162" s="3">
        <v>46050</v>
      </c>
      <c r="B162" t="s">
        <v>280</v>
      </c>
      <c r="C162" t="s">
        <v>44</v>
      </c>
      <c r="D162" t="s">
        <v>165</v>
      </c>
      <c r="E162" t="s">
        <v>20</v>
      </c>
      <c r="F162" t="s">
        <v>106</v>
      </c>
      <c r="G162" t="s">
        <v>28</v>
      </c>
      <c r="H162" t="s">
        <v>21</v>
      </c>
      <c r="I162" t="s">
        <v>75</v>
      </c>
      <c r="J162">
        <v>4</v>
      </c>
      <c r="K162" s="5">
        <v>1799</v>
      </c>
      <c r="L162" s="4">
        <v>0.12</v>
      </c>
      <c r="M162" t="s">
        <v>81</v>
      </c>
      <c r="N162">
        <v>2</v>
      </c>
      <c r="O162">
        <v>5</v>
      </c>
      <c r="P162" s="5">
        <f t="shared" si="6"/>
        <v>7196</v>
      </c>
      <c r="Q162" s="5">
        <f t="shared" si="7"/>
        <v>6332.4800000000005</v>
      </c>
      <c r="R162" s="5">
        <f t="shared" si="8"/>
        <v>1551.4576000000002</v>
      </c>
    </row>
    <row r="163" spans="1:18">
      <c r="A163" s="3">
        <v>46161</v>
      </c>
      <c r="B163" t="s">
        <v>281</v>
      </c>
      <c r="C163" t="s">
        <v>34</v>
      </c>
      <c r="D163" t="s">
        <v>120</v>
      </c>
      <c r="E163" t="s">
        <v>20</v>
      </c>
      <c r="F163" t="s">
        <v>188</v>
      </c>
      <c r="G163" t="s">
        <v>28</v>
      </c>
      <c r="H163" t="s">
        <v>21</v>
      </c>
      <c r="I163" t="s">
        <v>75</v>
      </c>
      <c r="J163">
        <v>1</v>
      </c>
      <c r="K163" s="5">
        <v>2999</v>
      </c>
      <c r="L163" s="4">
        <v>0.05</v>
      </c>
      <c r="M163" t="s">
        <v>70</v>
      </c>
      <c r="N163">
        <v>6</v>
      </c>
      <c r="O163">
        <v>3</v>
      </c>
      <c r="P163" s="5">
        <f t="shared" si="6"/>
        <v>2999</v>
      </c>
      <c r="Q163" s="5">
        <f t="shared" si="7"/>
        <v>2849.0499999999997</v>
      </c>
      <c r="R163" s="5">
        <f t="shared" si="8"/>
        <v>712.26249999999993</v>
      </c>
    </row>
    <row r="164" spans="1:18">
      <c r="A164" s="3">
        <v>46076</v>
      </c>
      <c r="B164" t="s">
        <v>282</v>
      </c>
      <c r="C164" t="s">
        <v>41</v>
      </c>
      <c r="D164" t="s">
        <v>67</v>
      </c>
      <c r="E164" t="s">
        <v>26</v>
      </c>
      <c r="F164" t="s">
        <v>80</v>
      </c>
      <c r="G164" t="s">
        <v>16</v>
      </c>
      <c r="H164" t="s">
        <v>15</v>
      </c>
      <c r="I164" t="s">
        <v>75</v>
      </c>
      <c r="J164">
        <v>1</v>
      </c>
      <c r="K164" s="5">
        <v>1499</v>
      </c>
      <c r="L164" s="4">
        <v>0</v>
      </c>
      <c r="M164" t="s">
        <v>123</v>
      </c>
      <c r="N164">
        <v>2</v>
      </c>
      <c r="O164">
        <v>3</v>
      </c>
      <c r="P164" s="5">
        <f t="shared" si="6"/>
        <v>1499</v>
      </c>
      <c r="Q164" s="5">
        <f t="shared" si="7"/>
        <v>1499</v>
      </c>
      <c r="R164" s="5">
        <f t="shared" si="8"/>
        <v>382.245</v>
      </c>
    </row>
    <row r="165" spans="1:18">
      <c r="A165" s="3">
        <v>46078</v>
      </c>
      <c r="B165" t="s">
        <v>283</v>
      </c>
      <c r="C165" t="s">
        <v>41</v>
      </c>
      <c r="D165" t="s">
        <v>67</v>
      </c>
      <c r="E165" t="s">
        <v>20</v>
      </c>
      <c r="F165" t="s">
        <v>133</v>
      </c>
      <c r="G165" t="s">
        <v>16</v>
      </c>
      <c r="H165" t="s">
        <v>15</v>
      </c>
      <c r="I165" t="s">
        <v>135</v>
      </c>
      <c r="J165">
        <v>1</v>
      </c>
      <c r="K165" s="5">
        <v>3499</v>
      </c>
      <c r="L165" s="4">
        <v>0.12</v>
      </c>
      <c r="M165" t="s">
        <v>123</v>
      </c>
      <c r="N165">
        <v>4</v>
      </c>
      <c r="O165">
        <v>4</v>
      </c>
      <c r="P165" s="5">
        <f t="shared" si="6"/>
        <v>3499</v>
      </c>
      <c r="Q165" s="5">
        <f t="shared" si="7"/>
        <v>3079.12</v>
      </c>
      <c r="R165" s="5">
        <f t="shared" si="8"/>
        <v>800.57119999999998</v>
      </c>
    </row>
    <row r="166" spans="1:18">
      <c r="A166" s="3">
        <v>46082</v>
      </c>
      <c r="B166" t="s">
        <v>284</v>
      </c>
      <c r="C166" t="s">
        <v>131</v>
      </c>
      <c r="D166" t="s">
        <v>132</v>
      </c>
      <c r="E166" t="s">
        <v>20</v>
      </c>
      <c r="F166" t="s">
        <v>188</v>
      </c>
      <c r="G166" t="s">
        <v>28</v>
      </c>
      <c r="H166" t="s">
        <v>15</v>
      </c>
      <c r="I166" t="s">
        <v>109</v>
      </c>
      <c r="J166">
        <v>1</v>
      </c>
      <c r="K166" s="5">
        <v>2999</v>
      </c>
      <c r="L166" s="4">
        <v>0</v>
      </c>
      <c r="M166" t="s">
        <v>70</v>
      </c>
      <c r="N166">
        <v>4</v>
      </c>
      <c r="O166">
        <v>3.5</v>
      </c>
      <c r="P166" s="5">
        <f t="shared" si="6"/>
        <v>2999</v>
      </c>
      <c r="Q166" s="5">
        <f t="shared" si="7"/>
        <v>2999</v>
      </c>
      <c r="R166" s="5">
        <f t="shared" si="8"/>
        <v>794.73500000000001</v>
      </c>
    </row>
    <row r="167" spans="1:18">
      <c r="A167" s="3">
        <v>46139</v>
      </c>
      <c r="B167" t="s">
        <v>285</v>
      </c>
      <c r="C167" t="s">
        <v>41</v>
      </c>
      <c r="D167" t="s">
        <v>67</v>
      </c>
      <c r="E167" t="s">
        <v>20</v>
      </c>
      <c r="F167" t="s">
        <v>133</v>
      </c>
      <c r="G167" t="s">
        <v>16</v>
      </c>
      <c r="H167" t="s">
        <v>15</v>
      </c>
      <c r="I167" t="s">
        <v>109</v>
      </c>
      <c r="J167">
        <v>4</v>
      </c>
      <c r="K167" s="5">
        <v>3499</v>
      </c>
      <c r="L167" s="4">
        <v>0.02</v>
      </c>
      <c r="M167" t="s">
        <v>70</v>
      </c>
      <c r="N167">
        <v>2</v>
      </c>
      <c r="O167">
        <v>5</v>
      </c>
      <c r="P167" s="5">
        <f t="shared" si="6"/>
        <v>13996</v>
      </c>
      <c r="Q167" s="5">
        <f t="shared" si="7"/>
        <v>13716.08</v>
      </c>
      <c r="R167" s="5">
        <f t="shared" si="8"/>
        <v>3703.3416000000002</v>
      </c>
    </row>
    <row r="168" spans="1:18">
      <c r="A168" s="3">
        <v>46295</v>
      </c>
      <c r="B168" t="s">
        <v>286</v>
      </c>
      <c r="C168" t="s">
        <v>47</v>
      </c>
      <c r="D168" t="s">
        <v>87</v>
      </c>
      <c r="E168" t="s">
        <v>32</v>
      </c>
      <c r="F168" t="s">
        <v>159</v>
      </c>
      <c r="G168" t="s">
        <v>16</v>
      </c>
      <c r="H168" t="s">
        <v>21</v>
      </c>
      <c r="I168" t="s">
        <v>135</v>
      </c>
      <c r="J168">
        <v>1</v>
      </c>
      <c r="K168" s="5">
        <v>2499</v>
      </c>
      <c r="L168" s="4">
        <v>0.12</v>
      </c>
      <c r="M168" t="s">
        <v>123</v>
      </c>
      <c r="N168">
        <v>3</v>
      </c>
      <c r="O168">
        <v>4</v>
      </c>
      <c r="P168" s="5">
        <f t="shared" si="6"/>
        <v>2499</v>
      </c>
      <c r="Q168" s="5">
        <f t="shared" si="7"/>
        <v>2199.12</v>
      </c>
      <c r="R168" s="5">
        <f t="shared" si="8"/>
        <v>527.78879999999992</v>
      </c>
    </row>
    <row r="169" spans="1:18">
      <c r="A169" s="3">
        <v>46375</v>
      </c>
      <c r="B169" t="s">
        <v>287</v>
      </c>
      <c r="C169" t="s">
        <v>41</v>
      </c>
      <c r="D169" t="s">
        <v>67</v>
      </c>
      <c r="E169" t="s">
        <v>26</v>
      </c>
      <c r="F169" t="s">
        <v>80</v>
      </c>
      <c r="G169" t="s">
        <v>22</v>
      </c>
      <c r="H169" t="s">
        <v>21</v>
      </c>
      <c r="I169" t="s">
        <v>135</v>
      </c>
      <c r="J169">
        <v>1</v>
      </c>
      <c r="K169" s="5">
        <v>1499</v>
      </c>
      <c r="L169" s="4">
        <v>0.15</v>
      </c>
      <c r="M169" t="s">
        <v>81</v>
      </c>
      <c r="N169">
        <v>4</v>
      </c>
      <c r="O169">
        <v>4</v>
      </c>
      <c r="P169" s="5">
        <f t="shared" si="6"/>
        <v>1499</v>
      </c>
      <c r="Q169" s="5">
        <f t="shared" si="7"/>
        <v>1274.1499999999999</v>
      </c>
      <c r="R169" s="5">
        <f t="shared" si="8"/>
        <v>312.16674999999998</v>
      </c>
    </row>
    <row r="170" spans="1:18">
      <c r="A170" s="3">
        <v>46344</v>
      </c>
      <c r="B170" t="s">
        <v>288</v>
      </c>
      <c r="C170" t="s">
        <v>47</v>
      </c>
      <c r="D170" t="s">
        <v>87</v>
      </c>
      <c r="E170" t="s">
        <v>26</v>
      </c>
      <c r="F170" t="s">
        <v>116</v>
      </c>
      <c r="G170" t="s">
        <v>22</v>
      </c>
      <c r="H170" t="s">
        <v>21</v>
      </c>
      <c r="I170" t="s">
        <v>75</v>
      </c>
      <c r="J170">
        <v>2</v>
      </c>
      <c r="K170" s="5">
        <v>899</v>
      </c>
      <c r="L170" s="4">
        <v>7.0000000000000007E-2</v>
      </c>
      <c r="M170" t="s">
        <v>85</v>
      </c>
      <c r="N170">
        <v>5</v>
      </c>
      <c r="O170">
        <v>5</v>
      </c>
      <c r="P170" s="5">
        <f t="shared" si="6"/>
        <v>1798</v>
      </c>
      <c r="Q170" s="5">
        <f t="shared" si="7"/>
        <v>1672.1399999999999</v>
      </c>
      <c r="R170" s="5">
        <f t="shared" si="8"/>
        <v>418.03499999999997</v>
      </c>
    </row>
    <row r="171" spans="1:18">
      <c r="A171" s="3">
        <v>46262</v>
      </c>
      <c r="B171" t="s">
        <v>289</v>
      </c>
      <c r="C171" t="s">
        <v>24</v>
      </c>
      <c r="D171" t="s">
        <v>105</v>
      </c>
      <c r="E171" t="s">
        <v>20</v>
      </c>
      <c r="F171" t="s">
        <v>111</v>
      </c>
      <c r="G171" t="s">
        <v>16</v>
      </c>
      <c r="H171" t="s">
        <v>27</v>
      </c>
      <c r="I171" t="s">
        <v>135</v>
      </c>
      <c r="J171">
        <v>1</v>
      </c>
      <c r="K171" s="5">
        <v>2799</v>
      </c>
      <c r="L171" s="4">
        <v>0.12</v>
      </c>
      <c r="M171" t="s">
        <v>117</v>
      </c>
      <c r="N171">
        <v>1</v>
      </c>
      <c r="O171">
        <v>4.5</v>
      </c>
      <c r="P171" s="5">
        <f t="shared" si="6"/>
        <v>2799</v>
      </c>
      <c r="Q171" s="5">
        <f t="shared" si="7"/>
        <v>2463.12</v>
      </c>
      <c r="R171" s="5">
        <f t="shared" si="8"/>
        <v>628.09559999999999</v>
      </c>
    </row>
    <row r="172" spans="1:18">
      <c r="A172" s="3">
        <v>46209</v>
      </c>
      <c r="B172" t="s">
        <v>290</v>
      </c>
      <c r="C172" t="s">
        <v>47</v>
      </c>
      <c r="D172" t="s">
        <v>87</v>
      </c>
      <c r="E172" t="s">
        <v>14</v>
      </c>
      <c r="F172" t="s">
        <v>108</v>
      </c>
      <c r="G172" t="s">
        <v>22</v>
      </c>
      <c r="H172" t="s">
        <v>21</v>
      </c>
      <c r="I172" t="s">
        <v>109</v>
      </c>
      <c r="J172">
        <v>1</v>
      </c>
      <c r="K172" s="5">
        <v>1999</v>
      </c>
      <c r="L172" s="4">
        <v>0.05</v>
      </c>
      <c r="M172" t="s">
        <v>97</v>
      </c>
      <c r="N172">
        <v>2</v>
      </c>
      <c r="O172">
        <v>4.5</v>
      </c>
      <c r="P172" s="5">
        <f t="shared" si="6"/>
        <v>1999</v>
      </c>
      <c r="Q172" s="5">
        <f t="shared" si="7"/>
        <v>1899.05</v>
      </c>
      <c r="R172" s="5">
        <f t="shared" si="8"/>
        <v>493.75299999999999</v>
      </c>
    </row>
    <row r="173" spans="1:18">
      <c r="A173" s="3">
        <v>46367</v>
      </c>
      <c r="B173" t="s">
        <v>291</v>
      </c>
      <c r="C173" t="s">
        <v>72</v>
      </c>
      <c r="D173" t="s">
        <v>73</v>
      </c>
      <c r="E173" t="s">
        <v>20</v>
      </c>
      <c r="F173" t="s">
        <v>106</v>
      </c>
      <c r="G173" t="s">
        <v>22</v>
      </c>
      <c r="H173" t="s">
        <v>15</v>
      </c>
      <c r="I173" t="s">
        <v>75</v>
      </c>
      <c r="J173">
        <v>2</v>
      </c>
      <c r="K173" s="5">
        <v>1799</v>
      </c>
      <c r="L173" s="4">
        <v>7.0000000000000007E-2</v>
      </c>
      <c r="M173" t="s">
        <v>70</v>
      </c>
      <c r="N173">
        <v>3</v>
      </c>
      <c r="O173">
        <v>4</v>
      </c>
      <c r="P173" s="5">
        <f t="shared" si="6"/>
        <v>3598</v>
      </c>
      <c r="Q173" s="5">
        <f t="shared" si="7"/>
        <v>3346.14</v>
      </c>
      <c r="R173" s="5">
        <f t="shared" si="8"/>
        <v>886.72710000000006</v>
      </c>
    </row>
    <row r="174" spans="1:18">
      <c r="A174" s="3">
        <v>46329</v>
      </c>
      <c r="B174" t="s">
        <v>292</v>
      </c>
      <c r="C174" t="s">
        <v>38</v>
      </c>
      <c r="D174" t="s">
        <v>83</v>
      </c>
      <c r="E174" t="s">
        <v>14</v>
      </c>
      <c r="F174" t="s">
        <v>122</v>
      </c>
      <c r="G174" t="s">
        <v>22</v>
      </c>
      <c r="H174" t="s">
        <v>21</v>
      </c>
      <c r="I174" t="s">
        <v>69</v>
      </c>
      <c r="J174">
        <v>2</v>
      </c>
      <c r="K174" s="5">
        <v>3999</v>
      </c>
      <c r="L174" s="4">
        <v>0</v>
      </c>
      <c r="M174" t="s">
        <v>97</v>
      </c>
      <c r="N174">
        <v>5</v>
      </c>
      <c r="O174">
        <v>5</v>
      </c>
      <c r="P174" s="5">
        <f t="shared" si="6"/>
        <v>7998</v>
      </c>
      <c r="Q174" s="5">
        <f t="shared" si="7"/>
        <v>7998</v>
      </c>
      <c r="R174" s="5">
        <f t="shared" si="8"/>
        <v>2159.46</v>
      </c>
    </row>
    <row r="175" spans="1:18">
      <c r="A175" s="3">
        <v>46238</v>
      </c>
      <c r="B175" t="s">
        <v>293</v>
      </c>
      <c r="C175" t="s">
        <v>44</v>
      </c>
      <c r="D175" t="s">
        <v>165</v>
      </c>
      <c r="E175" t="s">
        <v>14</v>
      </c>
      <c r="F175" t="s">
        <v>196</v>
      </c>
      <c r="G175" t="s">
        <v>28</v>
      </c>
      <c r="H175" t="s">
        <v>21</v>
      </c>
      <c r="I175" t="s">
        <v>135</v>
      </c>
      <c r="J175">
        <v>1</v>
      </c>
      <c r="K175" s="5">
        <v>1499</v>
      </c>
      <c r="L175" s="4">
        <v>0.1</v>
      </c>
      <c r="M175" t="s">
        <v>81</v>
      </c>
      <c r="N175">
        <v>3</v>
      </c>
      <c r="O175">
        <v>4</v>
      </c>
      <c r="P175" s="5">
        <f t="shared" si="6"/>
        <v>1499</v>
      </c>
      <c r="Q175" s="5">
        <f t="shared" si="7"/>
        <v>1349.1000000000001</v>
      </c>
      <c r="R175" s="5">
        <f t="shared" si="8"/>
        <v>323.78400000000005</v>
      </c>
    </row>
    <row r="176" spans="1:18">
      <c r="A176" s="3">
        <v>46052</v>
      </c>
      <c r="B176" t="s">
        <v>294</v>
      </c>
      <c r="C176" t="s">
        <v>47</v>
      </c>
      <c r="D176" t="s">
        <v>87</v>
      </c>
      <c r="E176" t="s">
        <v>36</v>
      </c>
      <c r="F176" t="s">
        <v>68</v>
      </c>
      <c r="G176" t="s">
        <v>16</v>
      </c>
      <c r="H176" t="s">
        <v>27</v>
      </c>
      <c r="I176" t="s">
        <v>96</v>
      </c>
      <c r="J176">
        <v>1</v>
      </c>
      <c r="K176" s="5">
        <v>599</v>
      </c>
      <c r="L176" s="4">
        <v>0.12</v>
      </c>
      <c r="M176" t="s">
        <v>123</v>
      </c>
      <c r="N176">
        <v>5</v>
      </c>
      <c r="O176">
        <v>3</v>
      </c>
      <c r="P176" s="5">
        <f t="shared" si="6"/>
        <v>599</v>
      </c>
      <c r="Q176" s="5">
        <f t="shared" si="7"/>
        <v>527.12</v>
      </c>
      <c r="R176" s="5">
        <f t="shared" si="8"/>
        <v>129.14439999999999</v>
      </c>
    </row>
    <row r="177" spans="1:18">
      <c r="A177" s="3">
        <v>46343</v>
      </c>
      <c r="B177" t="s">
        <v>295</v>
      </c>
      <c r="C177" t="s">
        <v>131</v>
      </c>
      <c r="D177" t="s">
        <v>132</v>
      </c>
      <c r="E177" t="s">
        <v>32</v>
      </c>
      <c r="F177" t="s">
        <v>159</v>
      </c>
      <c r="G177" t="s">
        <v>28</v>
      </c>
      <c r="H177" t="s">
        <v>27</v>
      </c>
      <c r="I177" t="s">
        <v>69</v>
      </c>
      <c r="J177">
        <v>2</v>
      </c>
      <c r="K177" s="5">
        <v>2499</v>
      </c>
      <c r="L177" s="4">
        <v>0.02</v>
      </c>
      <c r="M177" t="s">
        <v>76</v>
      </c>
      <c r="N177">
        <v>2</v>
      </c>
      <c r="O177">
        <v>3</v>
      </c>
      <c r="P177" s="5">
        <f t="shared" si="6"/>
        <v>4998</v>
      </c>
      <c r="Q177" s="5">
        <f t="shared" si="7"/>
        <v>4898.04</v>
      </c>
      <c r="R177" s="5">
        <f t="shared" si="8"/>
        <v>1224.51</v>
      </c>
    </row>
    <row r="178" spans="1:18">
      <c r="A178" s="3">
        <v>46314</v>
      </c>
      <c r="B178" t="s">
        <v>296</v>
      </c>
      <c r="C178" t="s">
        <v>131</v>
      </c>
      <c r="D178" t="s">
        <v>132</v>
      </c>
      <c r="E178" t="s">
        <v>36</v>
      </c>
      <c r="F178" t="s">
        <v>155</v>
      </c>
      <c r="G178" t="s">
        <v>16</v>
      </c>
      <c r="H178" t="s">
        <v>15</v>
      </c>
      <c r="I178" t="s">
        <v>69</v>
      </c>
      <c r="J178">
        <v>1</v>
      </c>
      <c r="K178" s="5">
        <v>899</v>
      </c>
      <c r="L178" s="4">
        <v>0</v>
      </c>
      <c r="M178" t="s">
        <v>123</v>
      </c>
      <c r="N178">
        <v>2</v>
      </c>
      <c r="O178">
        <v>3</v>
      </c>
      <c r="P178" s="5">
        <f t="shared" si="6"/>
        <v>899</v>
      </c>
      <c r="Q178" s="5">
        <f t="shared" si="7"/>
        <v>899</v>
      </c>
      <c r="R178" s="5">
        <f t="shared" si="8"/>
        <v>229.245</v>
      </c>
    </row>
    <row r="179" spans="1:18">
      <c r="A179" s="3">
        <v>46275</v>
      </c>
      <c r="B179" t="s">
        <v>297</v>
      </c>
      <c r="C179" t="s">
        <v>18</v>
      </c>
      <c r="D179" t="s">
        <v>115</v>
      </c>
      <c r="E179" t="s">
        <v>14</v>
      </c>
      <c r="F179" t="s">
        <v>196</v>
      </c>
      <c r="G179" t="s">
        <v>28</v>
      </c>
      <c r="H179" t="s">
        <v>27</v>
      </c>
      <c r="I179" t="s">
        <v>135</v>
      </c>
      <c r="J179">
        <v>4</v>
      </c>
      <c r="K179" s="5">
        <v>1499</v>
      </c>
      <c r="L179" s="4">
        <v>0.02</v>
      </c>
      <c r="M179" t="s">
        <v>85</v>
      </c>
      <c r="N179">
        <v>2</v>
      </c>
      <c r="O179">
        <v>4.5</v>
      </c>
      <c r="P179" s="5">
        <f t="shared" si="6"/>
        <v>5996</v>
      </c>
      <c r="Q179" s="5">
        <f t="shared" si="7"/>
        <v>5876.08</v>
      </c>
      <c r="R179" s="5">
        <f t="shared" si="8"/>
        <v>1527.7808</v>
      </c>
    </row>
    <row r="180" spans="1:18">
      <c r="A180" s="3">
        <v>46096</v>
      </c>
      <c r="B180" t="s">
        <v>298</v>
      </c>
      <c r="C180" t="s">
        <v>18</v>
      </c>
      <c r="D180" t="s">
        <v>115</v>
      </c>
      <c r="E180" t="s">
        <v>32</v>
      </c>
      <c r="F180" t="s">
        <v>74</v>
      </c>
      <c r="G180" t="s">
        <v>16</v>
      </c>
      <c r="H180" t="s">
        <v>15</v>
      </c>
      <c r="I180" t="s">
        <v>96</v>
      </c>
      <c r="J180">
        <v>1</v>
      </c>
      <c r="K180" s="5">
        <v>1899</v>
      </c>
      <c r="L180" s="4">
        <v>0.05</v>
      </c>
      <c r="M180" t="s">
        <v>76</v>
      </c>
      <c r="N180">
        <v>3</v>
      </c>
      <c r="O180">
        <v>5</v>
      </c>
      <c r="P180" s="5">
        <f t="shared" si="6"/>
        <v>1899</v>
      </c>
      <c r="Q180" s="5">
        <f t="shared" si="7"/>
        <v>1804.05</v>
      </c>
      <c r="R180" s="5">
        <f t="shared" si="8"/>
        <v>478.07325000000003</v>
      </c>
    </row>
    <row r="181" spans="1:18">
      <c r="A181" s="3">
        <v>46220</v>
      </c>
      <c r="B181" t="s">
        <v>299</v>
      </c>
      <c r="C181" t="s">
        <v>38</v>
      </c>
      <c r="D181" t="s">
        <v>83</v>
      </c>
      <c r="E181" t="s">
        <v>20</v>
      </c>
      <c r="F181" t="s">
        <v>153</v>
      </c>
      <c r="G181" t="s">
        <v>22</v>
      </c>
      <c r="H181" t="s">
        <v>27</v>
      </c>
      <c r="I181" t="s">
        <v>96</v>
      </c>
      <c r="J181">
        <v>2</v>
      </c>
      <c r="K181" s="5">
        <v>1999</v>
      </c>
      <c r="L181" s="4">
        <v>0</v>
      </c>
      <c r="M181" t="s">
        <v>76</v>
      </c>
      <c r="N181">
        <v>3</v>
      </c>
      <c r="O181">
        <v>4</v>
      </c>
      <c r="P181" s="5">
        <f t="shared" si="6"/>
        <v>3998</v>
      </c>
      <c r="Q181" s="5">
        <f t="shared" si="7"/>
        <v>3998</v>
      </c>
      <c r="R181" s="5">
        <f t="shared" si="8"/>
        <v>1079.46</v>
      </c>
    </row>
    <row r="182" spans="1:18">
      <c r="A182" s="3">
        <v>46169</v>
      </c>
      <c r="B182" t="s">
        <v>300</v>
      </c>
      <c r="C182" t="s">
        <v>24</v>
      </c>
      <c r="D182" t="s">
        <v>105</v>
      </c>
      <c r="E182" t="s">
        <v>26</v>
      </c>
      <c r="F182" t="s">
        <v>80</v>
      </c>
      <c r="G182" t="s">
        <v>22</v>
      </c>
      <c r="H182" t="s">
        <v>21</v>
      </c>
      <c r="I182" t="s">
        <v>96</v>
      </c>
      <c r="J182">
        <v>3</v>
      </c>
      <c r="K182" s="5">
        <v>1499</v>
      </c>
      <c r="L182" s="4">
        <v>0.15</v>
      </c>
      <c r="M182" t="s">
        <v>70</v>
      </c>
      <c r="N182">
        <v>3</v>
      </c>
      <c r="O182">
        <v>4.5</v>
      </c>
      <c r="P182" s="5">
        <f t="shared" si="6"/>
        <v>4497</v>
      </c>
      <c r="Q182" s="5">
        <f t="shared" si="7"/>
        <v>3822.45</v>
      </c>
      <c r="R182" s="5">
        <f t="shared" si="8"/>
        <v>917.38799999999992</v>
      </c>
    </row>
    <row r="183" spans="1:18">
      <c r="A183" s="3">
        <v>46111</v>
      </c>
      <c r="B183" t="s">
        <v>301</v>
      </c>
      <c r="C183" t="s">
        <v>24</v>
      </c>
      <c r="D183" t="s">
        <v>105</v>
      </c>
      <c r="E183" t="s">
        <v>36</v>
      </c>
      <c r="F183" t="s">
        <v>68</v>
      </c>
      <c r="G183" t="s">
        <v>16</v>
      </c>
      <c r="H183" t="s">
        <v>15</v>
      </c>
      <c r="I183" t="s">
        <v>109</v>
      </c>
      <c r="J183">
        <v>2</v>
      </c>
      <c r="K183" s="5">
        <v>599</v>
      </c>
      <c r="L183" s="4">
        <v>0.15</v>
      </c>
      <c r="M183" t="s">
        <v>81</v>
      </c>
      <c r="N183">
        <v>2</v>
      </c>
      <c r="O183">
        <v>4.5</v>
      </c>
      <c r="P183" s="5">
        <f t="shared" si="6"/>
        <v>1198</v>
      </c>
      <c r="Q183" s="5">
        <f t="shared" si="7"/>
        <v>1018.3</v>
      </c>
      <c r="R183" s="5">
        <f t="shared" si="8"/>
        <v>249.48349999999999</v>
      </c>
    </row>
    <row r="184" spans="1:18">
      <c r="A184" s="3">
        <v>46225</v>
      </c>
      <c r="B184" t="s">
        <v>302</v>
      </c>
      <c r="C184" t="s">
        <v>131</v>
      </c>
      <c r="D184" t="s">
        <v>132</v>
      </c>
      <c r="E184" t="s">
        <v>32</v>
      </c>
      <c r="F184" t="s">
        <v>90</v>
      </c>
      <c r="G184" t="s">
        <v>22</v>
      </c>
      <c r="H184" t="s">
        <v>15</v>
      </c>
      <c r="I184" t="s">
        <v>109</v>
      </c>
      <c r="J184">
        <v>1</v>
      </c>
      <c r="K184" s="5">
        <v>1599</v>
      </c>
      <c r="L184" s="4">
        <v>0.02</v>
      </c>
      <c r="M184" t="s">
        <v>97</v>
      </c>
      <c r="N184">
        <v>6</v>
      </c>
      <c r="O184">
        <v>3.5</v>
      </c>
      <c r="P184" s="5">
        <f t="shared" si="6"/>
        <v>1599</v>
      </c>
      <c r="Q184" s="5">
        <f t="shared" si="7"/>
        <v>1567.02</v>
      </c>
      <c r="R184" s="5">
        <f t="shared" si="8"/>
        <v>391.755</v>
      </c>
    </row>
    <row r="185" spans="1:18">
      <c r="A185" s="3">
        <v>46312</v>
      </c>
      <c r="B185" t="s">
        <v>303</v>
      </c>
      <c r="C185" t="s">
        <v>38</v>
      </c>
      <c r="D185" t="s">
        <v>83</v>
      </c>
      <c r="E185" t="s">
        <v>32</v>
      </c>
      <c r="F185" t="s">
        <v>88</v>
      </c>
      <c r="G185" t="s">
        <v>28</v>
      </c>
      <c r="H185" t="s">
        <v>15</v>
      </c>
      <c r="I185" t="s">
        <v>69</v>
      </c>
      <c r="J185">
        <v>1</v>
      </c>
      <c r="K185" s="5">
        <v>799</v>
      </c>
      <c r="L185" s="4">
        <v>0</v>
      </c>
      <c r="M185" t="s">
        <v>117</v>
      </c>
      <c r="N185">
        <v>2</v>
      </c>
      <c r="O185">
        <v>4</v>
      </c>
      <c r="P185" s="5">
        <f t="shared" si="6"/>
        <v>799</v>
      </c>
      <c r="Q185" s="5">
        <f t="shared" si="7"/>
        <v>799</v>
      </c>
      <c r="R185" s="5">
        <f t="shared" si="8"/>
        <v>203.745</v>
      </c>
    </row>
    <row r="186" spans="1:18">
      <c r="A186" s="3">
        <v>46274</v>
      </c>
      <c r="B186" t="s">
        <v>304</v>
      </c>
      <c r="C186" t="s">
        <v>38</v>
      </c>
      <c r="D186" t="s">
        <v>83</v>
      </c>
      <c r="E186" t="s">
        <v>20</v>
      </c>
      <c r="F186" t="s">
        <v>188</v>
      </c>
      <c r="G186" t="s">
        <v>22</v>
      </c>
      <c r="H186" t="s">
        <v>27</v>
      </c>
      <c r="I186" t="s">
        <v>69</v>
      </c>
      <c r="J186">
        <v>1</v>
      </c>
      <c r="K186" s="5">
        <v>2999</v>
      </c>
      <c r="L186" s="4">
        <v>0.05</v>
      </c>
      <c r="M186" t="s">
        <v>97</v>
      </c>
      <c r="N186">
        <v>3</v>
      </c>
      <c r="O186">
        <v>4.5</v>
      </c>
      <c r="P186" s="5">
        <f t="shared" si="6"/>
        <v>2999</v>
      </c>
      <c r="Q186" s="5">
        <f t="shared" si="7"/>
        <v>2849.0499999999997</v>
      </c>
      <c r="R186" s="5">
        <f t="shared" si="8"/>
        <v>740.75299999999993</v>
      </c>
    </row>
    <row r="187" spans="1:18">
      <c r="A187" s="3">
        <v>46229</v>
      </c>
      <c r="B187" t="s">
        <v>305</v>
      </c>
      <c r="C187" t="s">
        <v>34</v>
      </c>
      <c r="D187" t="s">
        <v>120</v>
      </c>
      <c r="E187" t="s">
        <v>26</v>
      </c>
      <c r="F187" t="s">
        <v>116</v>
      </c>
      <c r="G187" t="s">
        <v>16</v>
      </c>
      <c r="H187" t="s">
        <v>27</v>
      </c>
      <c r="I187" t="s">
        <v>96</v>
      </c>
      <c r="J187">
        <v>1</v>
      </c>
      <c r="K187" s="5">
        <v>899</v>
      </c>
      <c r="L187" s="4">
        <v>0.15</v>
      </c>
      <c r="M187" t="s">
        <v>85</v>
      </c>
      <c r="N187">
        <v>3</v>
      </c>
      <c r="O187">
        <v>5</v>
      </c>
      <c r="P187" s="5">
        <f t="shared" si="6"/>
        <v>899</v>
      </c>
      <c r="Q187" s="5">
        <f t="shared" si="7"/>
        <v>764.15</v>
      </c>
      <c r="R187" s="5">
        <f t="shared" si="8"/>
        <v>202.49975000000001</v>
      </c>
    </row>
    <row r="188" spans="1:18">
      <c r="A188" s="3">
        <v>46059</v>
      </c>
      <c r="B188" t="s">
        <v>306</v>
      </c>
      <c r="C188" t="s">
        <v>24</v>
      </c>
      <c r="D188" t="s">
        <v>105</v>
      </c>
      <c r="E188" t="s">
        <v>26</v>
      </c>
      <c r="F188" t="s">
        <v>116</v>
      </c>
      <c r="G188" t="s">
        <v>22</v>
      </c>
      <c r="H188" t="s">
        <v>21</v>
      </c>
      <c r="I188" t="s">
        <v>75</v>
      </c>
      <c r="J188">
        <v>2</v>
      </c>
      <c r="K188" s="5">
        <v>899</v>
      </c>
      <c r="L188" s="4">
        <v>0.15</v>
      </c>
      <c r="M188" t="s">
        <v>70</v>
      </c>
      <c r="N188">
        <v>6</v>
      </c>
      <c r="O188">
        <v>5</v>
      </c>
      <c r="P188" s="5">
        <f t="shared" si="6"/>
        <v>1798</v>
      </c>
      <c r="Q188" s="5">
        <f t="shared" si="7"/>
        <v>1528.3</v>
      </c>
      <c r="R188" s="5">
        <f t="shared" si="8"/>
        <v>412.64100000000002</v>
      </c>
    </row>
    <row r="189" spans="1:18">
      <c r="A189" s="3">
        <v>46295</v>
      </c>
      <c r="B189" t="s">
        <v>307</v>
      </c>
      <c r="C189" t="s">
        <v>38</v>
      </c>
      <c r="D189" t="s">
        <v>83</v>
      </c>
      <c r="E189" t="s">
        <v>26</v>
      </c>
      <c r="F189" t="s">
        <v>100</v>
      </c>
      <c r="G189" t="s">
        <v>22</v>
      </c>
      <c r="H189" t="s">
        <v>27</v>
      </c>
      <c r="I189" t="s">
        <v>69</v>
      </c>
      <c r="J189">
        <v>1</v>
      </c>
      <c r="K189" s="5">
        <v>5999</v>
      </c>
      <c r="L189" s="4">
        <v>0.12</v>
      </c>
      <c r="M189" t="s">
        <v>117</v>
      </c>
      <c r="N189">
        <v>2</v>
      </c>
      <c r="O189">
        <v>4</v>
      </c>
      <c r="P189" s="5">
        <f t="shared" si="6"/>
        <v>5999</v>
      </c>
      <c r="Q189" s="5">
        <f t="shared" si="7"/>
        <v>5279.12</v>
      </c>
      <c r="R189" s="5">
        <f t="shared" si="8"/>
        <v>1266.9887999999999</v>
      </c>
    </row>
    <row r="190" spans="1:18">
      <c r="A190" s="3">
        <v>46082</v>
      </c>
      <c r="B190" t="s">
        <v>308</v>
      </c>
      <c r="C190" t="s">
        <v>18</v>
      </c>
      <c r="D190" t="s">
        <v>115</v>
      </c>
      <c r="E190" t="s">
        <v>14</v>
      </c>
      <c r="F190" t="s">
        <v>122</v>
      </c>
      <c r="G190" t="s">
        <v>22</v>
      </c>
      <c r="H190" t="s">
        <v>21</v>
      </c>
      <c r="I190" t="s">
        <v>75</v>
      </c>
      <c r="J190">
        <v>3</v>
      </c>
      <c r="K190" s="5">
        <v>3999</v>
      </c>
      <c r="L190" s="4">
        <v>0</v>
      </c>
      <c r="M190" t="s">
        <v>85</v>
      </c>
      <c r="N190">
        <v>4</v>
      </c>
      <c r="O190">
        <v>3</v>
      </c>
      <c r="P190" s="5">
        <f t="shared" si="6"/>
        <v>11997</v>
      </c>
      <c r="Q190" s="5">
        <f t="shared" si="7"/>
        <v>11997</v>
      </c>
      <c r="R190" s="5">
        <f t="shared" si="8"/>
        <v>2939.2649999999999</v>
      </c>
    </row>
    <row r="191" spans="1:18">
      <c r="A191" s="3">
        <v>46387</v>
      </c>
      <c r="B191" t="s">
        <v>309</v>
      </c>
      <c r="C191" t="s">
        <v>34</v>
      </c>
      <c r="D191" t="s">
        <v>120</v>
      </c>
      <c r="E191" t="s">
        <v>32</v>
      </c>
      <c r="F191" t="s">
        <v>90</v>
      </c>
      <c r="G191" t="s">
        <v>28</v>
      </c>
      <c r="H191" t="s">
        <v>21</v>
      </c>
      <c r="I191" t="s">
        <v>69</v>
      </c>
      <c r="J191">
        <v>2</v>
      </c>
      <c r="K191" s="5">
        <v>1599</v>
      </c>
      <c r="L191" s="4">
        <v>0</v>
      </c>
      <c r="M191" t="s">
        <v>70</v>
      </c>
      <c r="N191">
        <v>1</v>
      </c>
      <c r="O191">
        <v>5</v>
      </c>
      <c r="P191" s="5">
        <f t="shared" si="6"/>
        <v>3198</v>
      </c>
      <c r="Q191" s="5">
        <f t="shared" si="7"/>
        <v>3198</v>
      </c>
      <c r="R191" s="5">
        <f t="shared" si="8"/>
        <v>799.5</v>
      </c>
    </row>
    <row r="192" spans="1:18">
      <c r="A192" s="3">
        <v>46059</v>
      </c>
      <c r="B192" t="s">
        <v>310</v>
      </c>
      <c r="C192" t="s">
        <v>18</v>
      </c>
      <c r="D192" t="s">
        <v>115</v>
      </c>
      <c r="E192" t="s">
        <v>14</v>
      </c>
      <c r="F192" t="s">
        <v>108</v>
      </c>
      <c r="G192" t="s">
        <v>22</v>
      </c>
      <c r="H192" t="s">
        <v>27</v>
      </c>
      <c r="I192" t="s">
        <v>135</v>
      </c>
      <c r="J192">
        <v>2</v>
      </c>
      <c r="K192" s="5">
        <v>1999</v>
      </c>
      <c r="L192" s="4">
        <v>0.15</v>
      </c>
      <c r="M192" t="s">
        <v>85</v>
      </c>
      <c r="N192">
        <v>3</v>
      </c>
      <c r="O192">
        <v>3.5</v>
      </c>
      <c r="P192" s="5">
        <f t="shared" si="6"/>
        <v>3998</v>
      </c>
      <c r="Q192" s="5">
        <f t="shared" si="7"/>
        <v>3398.2999999999997</v>
      </c>
      <c r="R192" s="5">
        <f t="shared" si="8"/>
        <v>866.56649999999991</v>
      </c>
    </row>
    <row r="193" spans="1:18">
      <c r="A193" s="3">
        <v>46075</v>
      </c>
      <c r="B193" t="s">
        <v>311</v>
      </c>
      <c r="C193" t="s">
        <v>41</v>
      </c>
      <c r="D193" t="s">
        <v>67</v>
      </c>
      <c r="E193" t="s">
        <v>32</v>
      </c>
      <c r="F193" t="s">
        <v>125</v>
      </c>
      <c r="G193" t="s">
        <v>28</v>
      </c>
      <c r="H193" t="s">
        <v>27</v>
      </c>
      <c r="I193" t="s">
        <v>109</v>
      </c>
      <c r="J193">
        <v>3</v>
      </c>
      <c r="K193" s="5">
        <v>1299</v>
      </c>
      <c r="L193" s="4">
        <v>0.02</v>
      </c>
      <c r="M193" t="s">
        <v>81</v>
      </c>
      <c r="N193">
        <v>1</v>
      </c>
      <c r="O193">
        <v>4</v>
      </c>
      <c r="P193" s="5">
        <f t="shared" si="6"/>
        <v>3897</v>
      </c>
      <c r="Q193" s="5">
        <f t="shared" si="7"/>
        <v>3819.06</v>
      </c>
      <c r="R193" s="5">
        <f t="shared" si="8"/>
        <v>992.9556</v>
      </c>
    </row>
    <row r="194" spans="1:18">
      <c r="A194" s="3">
        <v>46171</v>
      </c>
      <c r="B194" t="s">
        <v>312</v>
      </c>
      <c r="C194" t="s">
        <v>72</v>
      </c>
      <c r="D194" t="s">
        <v>73</v>
      </c>
      <c r="E194" t="s">
        <v>14</v>
      </c>
      <c r="F194" t="s">
        <v>108</v>
      </c>
      <c r="G194" t="s">
        <v>28</v>
      </c>
      <c r="H194" t="s">
        <v>15</v>
      </c>
      <c r="I194" t="s">
        <v>69</v>
      </c>
      <c r="J194">
        <v>3</v>
      </c>
      <c r="K194" s="5">
        <v>1999</v>
      </c>
      <c r="L194" s="4">
        <v>0.02</v>
      </c>
      <c r="M194" t="s">
        <v>91</v>
      </c>
      <c r="N194">
        <v>3</v>
      </c>
      <c r="O194">
        <v>4.5</v>
      </c>
      <c r="P194" s="5">
        <f t="shared" ref="P194:P257" si="9">J194*K194</f>
        <v>5997</v>
      </c>
      <c r="Q194" s="5">
        <f t="shared" ref="Q194:Q257" si="10">P194*(1-L194)</f>
        <v>5877.0599999999995</v>
      </c>
      <c r="R194" s="5">
        <f t="shared" ref="R194:R257" si="11">Q194*(0.24+MOD(ROW(),7)*0.005)</f>
        <v>1557.4208999999998</v>
      </c>
    </row>
    <row r="195" spans="1:18">
      <c r="A195" s="3">
        <v>46150</v>
      </c>
      <c r="B195" t="s">
        <v>313</v>
      </c>
      <c r="C195" t="s">
        <v>24</v>
      </c>
      <c r="D195" t="s">
        <v>105</v>
      </c>
      <c r="E195" t="s">
        <v>26</v>
      </c>
      <c r="F195" t="s">
        <v>80</v>
      </c>
      <c r="G195" t="s">
        <v>16</v>
      </c>
      <c r="H195" t="s">
        <v>15</v>
      </c>
      <c r="I195" t="s">
        <v>96</v>
      </c>
      <c r="J195">
        <v>1</v>
      </c>
      <c r="K195" s="5">
        <v>1499</v>
      </c>
      <c r="L195" s="4">
        <v>0.12</v>
      </c>
      <c r="M195" t="s">
        <v>76</v>
      </c>
      <c r="N195">
        <v>4</v>
      </c>
      <c r="O195">
        <v>5</v>
      </c>
      <c r="P195" s="5">
        <f t="shared" si="9"/>
        <v>1499</v>
      </c>
      <c r="Q195" s="5">
        <f t="shared" si="10"/>
        <v>1319.1200000000001</v>
      </c>
      <c r="R195" s="5">
        <f t="shared" si="11"/>
        <v>356.16240000000005</v>
      </c>
    </row>
    <row r="196" spans="1:18">
      <c r="A196" s="3">
        <v>46072</v>
      </c>
      <c r="B196" t="s">
        <v>314</v>
      </c>
      <c r="C196" t="s">
        <v>44</v>
      </c>
      <c r="D196" t="s">
        <v>165</v>
      </c>
      <c r="E196" t="s">
        <v>36</v>
      </c>
      <c r="F196" t="s">
        <v>103</v>
      </c>
      <c r="G196" t="s">
        <v>16</v>
      </c>
      <c r="H196" t="s">
        <v>21</v>
      </c>
      <c r="I196" t="s">
        <v>96</v>
      </c>
      <c r="J196">
        <v>3</v>
      </c>
      <c r="K196" s="5">
        <v>499</v>
      </c>
      <c r="L196" s="4">
        <v>0.05</v>
      </c>
      <c r="M196" t="s">
        <v>85</v>
      </c>
      <c r="N196">
        <v>3</v>
      </c>
      <c r="O196">
        <v>4.5</v>
      </c>
      <c r="P196" s="5">
        <f t="shared" si="9"/>
        <v>1497</v>
      </c>
      <c r="Q196" s="5">
        <f t="shared" si="10"/>
        <v>1422.1499999999999</v>
      </c>
      <c r="R196" s="5">
        <f t="shared" si="11"/>
        <v>341.31599999999997</v>
      </c>
    </row>
    <row r="197" spans="1:18">
      <c r="A197" s="3">
        <v>46028</v>
      </c>
      <c r="B197" t="s">
        <v>315</v>
      </c>
      <c r="C197" t="s">
        <v>41</v>
      </c>
      <c r="D197" t="s">
        <v>67</v>
      </c>
      <c r="E197" t="s">
        <v>36</v>
      </c>
      <c r="F197" t="s">
        <v>103</v>
      </c>
      <c r="G197" t="s">
        <v>16</v>
      </c>
      <c r="H197" t="s">
        <v>27</v>
      </c>
      <c r="I197" t="s">
        <v>96</v>
      </c>
      <c r="J197">
        <v>5</v>
      </c>
      <c r="K197" s="5">
        <v>499</v>
      </c>
      <c r="L197" s="4">
        <v>0.1</v>
      </c>
      <c r="M197" t="s">
        <v>117</v>
      </c>
      <c r="N197">
        <v>3</v>
      </c>
      <c r="O197">
        <v>5</v>
      </c>
      <c r="P197" s="5">
        <f t="shared" si="9"/>
        <v>2495</v>
      </c>
      <c r="Q197" s="5">
        <f t="shared" si="10"/>
        <v>2245.5</v>
      </c>
      <c r="R197" s="5">
        <f t="shared" si="11"/>
        <v>550.14750000000004</v>
      </c>
    </row>
    <row r="198" spans="1:18">
      <c r="A198" s="3">
        <v>46246</v>
      </c>
      <c r="B198" t="s">
        <v>316</v>
      </c>
      <c r="C198" t="s">
        <v>93</v>
      </c>
      <c r="D198" t="s">
        <v>94</v>
      </c>
      <c r="E198" t="s">
        <v>20</v>
      </c>
      <c r="F198" t="s">
        <v>188</v>
      </c>
      <c r="G198" t="s">
        <v>22</v>
      </c>
      <c r="H198" t="s">
        <v>21</v>
      </c>
      <c r="I198" t="s">
        <v>75</v>
      </c>
      <c r="J198">
        <v>1</v>
      </c>
      <c r="K198" s="5">
        <v>2999</v>
      </c>
      <c r="L198" s="4">
        <v>0.05</v>
      </c>
      <c r="M198" t="s">
        <v>70</v>
      </c>
      <c r="N198">
        <v>4</v>
      </c>
      <c r="O198">
        <v>4</v>
      </c>
      <c r="P198" s="5">
        <f t="shared" si="9"/>
        <v>2999</v>
      </c>
      <c r="Q198" s="5">
        <f t="shared" si="10"/>
        <v>2849.0499999999997</v>
      </c>
      <c r="R198" s="5">
        <f t="shared" si="11"/>
        <v>712.26249999999993</v>
      </c>
    </row>
    <row r="199" spans="1:18">
      <c r="A199" s="3">
        <v>46353</v>
      </c>
      <c r="B199" t="s">
        <v>317</v>
      </c>
      <c r="C199" t="s">
        <v>41</v>
      </c>
      <c r="D199" t="s">
        <v>67</v>
      </c>
      <c r="E199" t="s">
        <v>32</v>
      </c>
      <c r="F199" t="s">
        <v>88</v>
      </c>
      <c r="G199" t="s">
        <v>22</v>
      </c>
      <c r="H199" t="s">
        <v>15</v>
      </c>
      <c r="I199" t="s">
        <v>96</v>
      </c>
      <c r="J199">
        <v>1</v>
      </c>
      <c r="K199" s="5">
        <v>799</v>
      </c>
      <c r="L199" s="4">
        <v>7.0000000000000007E-2</v>
      </c>
      <c r="M199" t="s">
        <v>85</v>
      </c>
      <c r="N199">
        <v>2</v>
      </c>
      <c r="O199">
        <v>4.5</v>
      </c>
      <c r="P199" s="5">
        <f t="shared" si="9"/>
        <v>799</v>
      </c>
      <c r="Q199" s="5">
        <f t="shared" si="10"/>
        <v>743.06999999999994</v>
      </c>
      <c r="R199" s="5">
        <f t="shared" si="11"/>
        <v>189.48284999999998</v>
      </c>
    </row>
    <row r="200" spans="1:18">
      <c r="A200" s="3">
        <v>46353</v>
      </c>
      <c r="B200" t="s">
        <v>318</v>
      </c>
      <c r="C200" t="s">
        <v>72</v>
      </c>
      <c r="D200" t="s">
        <v>73</v>
      </c>
      <c r="E200" t="s">
        <v>36</v>
      </c>
      <c r="F200" t="s">
        <v>95</v>
      </c>
      <c r="G200" t="s">
        <v>16</v>
      </c>
      <c r="H200" t="s">
        <v>15</v>
      </c>
      <c r="I200" t="s">
        <v>75</v>
      </c>
      <c r="J200">
        <v>2</v>
      </c>
      <c r="K200" s="5">
        <v>999</v>
      </c>
      <c r="L200" s="4">
        <v>0.12</v>
      </c>
      <c r="M200" t="s">
        <v>76</v>
      </c>
      <c r="N200">
        <v>4</v>
      </c>
      <c r="O200">
        <v>5</v>
      </c>
      <c r="P200" s="5">
        <f t="shared" si="9"/>
        <v>1998</v>
      </c>
      <c r="Q200" s="5">
        <f t="shared" si="10"/>
        <v>1758.24</v>
      </c>
      <c r="R200" s="5">
        <f t="shared" si="11"/>
        <v>457.14240000000001</v>
      </c>
    </row>
    <row r="201" spans="1:18">
      <c r="A201" s="3">
        <v>46162</v>
      </c>
      <c r="B201" t="s">
        <v>319</v>
      </c>
      <c r="C201" t="s">
        <v>34</v>
      </c>
      <c r="D201" t="s">
        <v>120</v>
      </c>
      <c r="E201" t="s">
        <v>14</v>
      </c>
      <c r="F201" t="s">
        <v>196</v>
      </c>
      <c r="G201" t="s">
        <v>22</v>
      </c>
      <c r="H201" t="s">
        <v>21</v>
      </c>
      <c r="I201" t="s">
        <v>109</v>
      </c>
      <c r="J201">
        <v>1</v>
      </c>
      <c r="K201" s="5">
        <v>1499</v>
      </c>
      <c r="L201" s="4">
        <v>7.0000000000000007E-2</v>
      </c>
      <c r="M201" t="s">
        <v>70</v>
      </c>
      <c r="N201">
        <v>4</v>
      </c>
      <c r="O201">
        <v>3.5</v>
      </c>
      <c r="P201" s="5">
        <f t="shared" si="9"/>
        <v>1499</v>
      </c>
      <c r="Q201" s="5">
        <f t="shared" si="10"/>
        <v>1394.07</v>
      </c>
      <c r="R201" s="5">
        <f t="shared" si="11"/>
        <v>369.42855000000003</v>
      </c>
    </row>
    <row r="202" spans="1:18">
      <c r="A202" s="3">
        <v>46028</v>
      </c>
      <c r="B202" t="s">
        <v>320</v>
      </c>
      <c r="C202" t="s">
        <v>38</v>
      </c>
      <c r="D202" t="s">
        <v>83</v>
      </c>
      <c r="E202" t="s">
        <v>26</v>
      </c>
      <c r="F202" t="s">
        <v>100</v>
      </c>
      <c r="G202" t="s">
        <v>16</v>
      </c>
      <c r="H202" t="s">
        <v>15</v>
      </c>
      <c r="I202" t="s">
        <v>135</v>
      </c>
      <c r="J202">
        <v>2</v>
      </c>
      <c r="K202" s="5">
        <v>5999</v>
      </c>
      <c r="L202" s="4">
        <v>0.15</v>
      </c>
      <c r="M202" t="s">
        <v>91</v>
      </c>
      <c r="N202">
        <v>6</v>
      </c>
      <c r="O202">
        <v>5</v>
      </c>
      <c r="P202" s="5">
        <f t="shared" si="9"/>
        <v>11998</v>
      </c>
      <c r="Q202" s="5">
        <f t="shared" si="10"/>
        <v>10198.299999999999</v>
      </c>
      <c r="R202" s="5">
        <f t="shared" si="11"/>
        <v>2753.5410000000002</v>
      </c>
    </row>
    <row r="203" spans="1:18">
      <c r="A203" s="3">
        <v>46337</v>
      </c>
      <c r="B203" t="s">
        <v>321</v>
      </c>
      <c r="C203" t="s">
        <v>78</v>
      </c>
      <c r="D203" t="s">
        <v>79</v>
      </c>
      <c r="E203" t="s">
        <v>26</v>
      </c>
      <c r="F203" t="s">
        <v>84</v>
      </c>
      <c r="G203" t="s">
        <v>22</v>
      </c>
      <c r="H203" t="s">
        <v>15</v>
      </c>
      <c r="I203" t="s">
        <v>69</v>
      </c>
      <c r="J203">
        <v>4</v>
      </c>
      <c r="K203" s="5">
        <v>4499</v>
      </c>
      <c r="L203" s="4">
        <v>0</v>
      </c>
      <c r="M203" t="s">
        <v>117</v>
      </c>
      <c r="N203">
        <v>6</v>
      </c>
      <c r="O203">
        <v>5</v>
      </c>
      <c r="P203" s="5">
        <f t="shared" si="9"/>
        <v>17996</v>
      </c>
      <c r="Q203" s="5">
        <f t="shared" si="10"/>
        <v>17996</v>
      </c>
      <c r="R203" s="5">
        <f t="shared" si="11"/>
        <v>4319.04</v>
      </c>
    </row>
    <row r="204" spans="1:18">
      <c r="A204" s="3">
        <v>46079</v>
      </c>
      <c r="B204" t="s">
        <v>322</v>
      </c>
      <c r="C204" t="s">
        <v>131</v>
      </c>
      <c r="D204" t="s">
        <v>132</v>
      </c>
      <c r="E204" t="s">
        <v>14</v>
      </c>
      <c r="F204" t="s">
        <v>196</v>
      </c>
      <c r="G204" t="s">
        <v>22</v>
      </c>
      <c r="H204" t="s">
        <v>21</v>
      </c>
      <c r="I204" t="s">
        <v>69</v>
      </c>
      <c r="J204">
        <v>4</v>
      </c>
      <c r="K204" s="5">
        <v>1499</v>
      </c>
      <c r="L204" s="4">
        <v>0.05</v>
      </c>
      <c r="M204" t="s">
        <v>81</v>
      </c>
      <c r="N204">
        <v>6</v>
      </c>
      <c r="O204">
        <v>4</v>
      </c>
      <c r="P204" s="5">
        <f t="shared" si="9"/>
        <v>5996</v>
      </c>
      <c r="Q204" s="5">
        <f t="shared" si="10"/>
        <v>5696.2</v>
      </c>
      <c r="R204" s="5">
        <f t="shared" si="11"/>
        <v>1395.569</v>
      </c>
    </row>
    <row r="205" spans="1:18">
      <c r="A205" s="3">
        <v>46376</v>
      </c>
      <c r="B205" t="s">
        <v>323</v>
      </c>
      <c r="C205" t="s">
        <v>38</v>
      </c>
      <c r="D205" t="s">
        <v>83</v>
      </c>
      <c r="E205" t="s">
        <v>32</v>
      </c>
      <c r="F205" t="s">
        <v>159</v>
      </c>
      <c r="G205" t="s">
        <v>16</v>
      </c>
      <c r="H205" t="s">
        <v>15</v>
      </c>
      <c r="I205" t="s">
        <v>109</v>
      </c>
      <c r="J205">
        <v>1</v>
      </c>
      <c r="K205" s="5">
        <v>2499</v>
      </c>
      <c r="L205" s="4">
        <v>0.02</v>
      </c>
      <c r="M205" t="s">
        <v>85</v>
      </c>
      <c r="N205">
        <v>4</v>
      </c>
      <c r="O205">
        <v>3.5</v>
      </c>
      <c r="P205" s="5">
        <f t="shared" si="9"/>
        <v>2499</v>
      </c>
      <c r="Q205" s="5">
        <f t="shared" si="10"/>
        <v>2449.02</v>
      </c>
      <c r="R205" s="5">
        <f t="shared" si="11"/>
        <v>612.255</v>
      </c>
    </row>
    <row r="206" spans="1:18">
      <c r="A206" s="3">
        <v>46193</v>
      </c>
      <c r="B206" t="s">
        <v>324</v>
      </c>
      <c r="C206" t="s">
        <v>131</v>
      </c>
      <c r="D206" t="s">
        <v>132</v>
      </c>
      <c r="E206" t="s">
        <v>14</v>
      </c>
      <c r="F206" t="s">
        <v>122</v>
      </c>
      <c r="G206" t="s">
        <v>22</v>
      </c>
      <c r="H206" t="s">
        <v>27</v>
      </c>
      <c r="I206" t="s">
        <v>96</v>
      </c>
      <c r="J206">
        <v>2</v>
      </c>
      <c r="K206" s="5">
        <v>3999</v>
      </c>
      <c r="L206" s="4">
        <v>0.12</v>
      </c>
      <c r="M206" t="s">
        <v>81</v>
      </c>
      <c r="N206">
        <v>5</v>
      </c>
      <c r="O206">
        <v>4</v>
      </c>
      <c r="P206" s="5">
        <f t="shared" si="9"/>
        <v>7998</v>
      </c>
      <c r="Q206" s="5">
        <f t="shared" si="10"/>
        <v>7038.24</v>
      </c>
      <c r="R206" s="5">
        <f t="shared" si="11"/>
        <v>1794.7511999999999</v>
      </c>
    </row>
    <row r="207" spans="1:18">
      <c r="A207" s="3">
        <v>46285</v>
      </c>
      <c r="B207" t="s">
        <v>325</v>
      </c>
      <c r="C207" t="s">
        <v>47</v>
      </c>
      <c r="D207" t="s">
        <v>87</v>
      </c>
      <c r="E207" t="s">
        <v>36</v>
      </c>
      <c r="F207" t="s">
        <v>103</v>
      </c>
      <c r="G207" t="s">
        <v>22</v>
      </c>
      <c r="H207" t="s">
        <v>27</v>
      </c>
      <c r="I207" t="s">
        <v>75</v>
      </c>
      <c r="J207">
        <v>2</v>
      </c>
      <c r="K207" s="5">
        <v>499</v>
      </c>
      <c r="L207" s="4">
        <v>0.1</v>
      </c>
      <c r="M207" t="s">
        <v>76</v>
      </c>
      <c r="N207">
        <v>4</v>
      </c>
      <c r="O207">
        <v>4.5</v>
      </c>
      <c r="P207" s="5">
        <f t="shared" si="9"/>
        <v>998</v>
      </c>
      <c r="Q207" s="5">
        <f t="shared" si="10"/>
        <v>898.2</v>
      </c>
      <c r="R207" s="5">
        <f t="shared" si="11"/>
        <v>233.53200000000001</v>
      </c>
    </row>
    <row r="208" spans="1:18">
      <c r="A208" s="3">
        <v>46354</v>
      </c>
      <c r="B208" t="s">
        <v>326</v>
      </c>
      <c r="C208" t="s">
        <v>41</v>
      </c>
      <c r="D208" t="s">
        <v>67</v>
      </c>
      <c r="E208" t="s">
        <v>26</v>
      </c>
      <c r="F208" t="s">
        <v>84</v>
      </c>
      <c r="G208" t="s">
        <v>16</v>
      </c>
      <c r="H208" t="s">
        <v>27</v>
      </c>
      <c r="I208" t="s">
        <v>135</v>
      </c>
      <c r="J208">
        <v>1</v>
      </c>
      <c r="K208" s="5">
        <v>4499</v>
      </c>
      <c r="L208" s="4">
        <v>7.0000000000000007E-2</v>
      </c>
      <c r="M208" t="s">
        <v>117</v>
      </c>
      <c r="N208">
        <v>6</v>
      </c>
      <c r="O208">
        <v>4</v>
      </c>
      <c r="P208" s="5">
        <f t="shared" si="9"/>
        <v>4499</v>
      </c>
      <c r="Q208" s="5">
        <f t="shared" si="10"/>
        <v>4184.07</v>
      </c>
      <c r="R208" s="5">
        <f t="shared" si="11"/>
        <v>1108.77855</v>
      </c>
    </row>
    <row r="209" spans="1:18">
      <c r="A209" s="3">
        <v>46293</v>
      </c>
      <c r="B209" t="s">
        <v>327</v>
      </c>
      <c r="C209" t="s">
        <v>34</v>
      </c>
      <c r="D209" t="s">
        <v>120</v>
      </c>
      <c r="E209" t="s">
        <v>32</v>
      </c>
      <c r="F209" t="s">
        <v>159</v>
      </c>
      <c r="G209" t="s">
        <v>28</v>
      </c>
      <c r="H209" t="s">
        <v>21</v>
      </c>
      <c r="I209" t="s">
        <v>69</v>
      </c>
      <c r="J209">
        <v>1</v>
      </c>
      <c r="K209" s="5">
        <v>2499</v>
      </c>
      <c r="L209" s="4">
        <v>0.1</v>
      </c>
      <c r="M209" t="s">
        <v>117</v>
      </c>
      <c r="N209">
        <v>2</v>
      </c>
      <c r="O209">
        <v>4</v>
      </c>
      <c r="P209" s="5">
        <f t="shared" si="9"/>
        <v>2499</v>
      </c>
      <c r="Q209" s="5">
        <f t="shared" si="10"/>
        <v>2249.1</v>
      </c>
      <c r="R209" s="5">
        <f t="shared" si="11"/>
        <v>607.25700000000006</v>
      </c>
    </row>
    <row r="210" spans="1:18">
      <c r="A210" s="3">
        <v>46118</v>
      </c>
      <c r="B210" t="s">
        <v>328</v>
      </c>
      <c r="C210" t="s">
        <v>38</v>
      </c>
      <c r="D210" t="s">
        <v>83</v>
      </c>
      <c r="E210" t="s">
        <v>26</v>
      </c>
      <c r="F210" t="s">
        <v>113</v>
      </c>
      <c r="G210" t="s">
        <v>22</v>
      </c>
      <c r="H210" t="s">
        <v>21</v>
      </c>
      <c r="I210" t="s">
        <v>69</v>
      </c>
      <c r="J210">
        <v>2</v>
      </c>
      <c r="K210" s="5">
        <v>2299</v>
      </c>
      <c r="L210" s="4">
        <v>7.0000000000000007E-2</v>
      </c>
      <c r="M210" t="s">
        <v>97</v>
      </c>
      <c r="N210">
        <v>3</v>
      </c>
      <c r="O210">
        <v>4</v>
      </c>
      <c r="P210" s="5">
        <f t="shared" si="9"/>
        <v>4598</v>
      </c>
      <c r="Q210" s="5">
        <f t="shared" si="10"/>
        <v>4276.1399999999994</v>
      </c>
      <c r="R210" s="5">
        <f t="shared" si="11"/>
        <v>1026.2735999999998</v>
      </c>
    </row>
    <row r="211" spans="1:18">
      <c r="A211" s="3">
        <v>46125</v>
      </c>
      <c r="B211" t="s">
        <v>329</v>
      </c>
      <c r="C211" t="s">
        <v>30</v>
      </c>
      <c r="D211" t="s">
        <v>144</v>
      </c>
      <c r="E211" t="s">
        <v>14</v>
      </c>
      <c r="F211" t="s">
        <v>192</v>
      </c>
      <c r="G211" t="s">
        <v>16</v>
      </c>
      <c r="H211" t="s">
        <v>15</v>
      </c>
      <c r="I211" t="s">
        <v>69</v>
      </c>
      <c r="J211">
        <v>2</v>
      </c>
      <c r="K211" s="5">
        <v>2499</v>
      </c>
      <c r="L211" s="4">
        <v>7.0000000000000007E-2</v>
      </c>
      <c r="M211" t="s">
        <v>91</v>
      </c>
      <c r="N211">
        <v>2</v>
      </c>
      <c r="O211">
        <v>4</v>
      </c>
      <c r="P211" s="5">
        <f t="shared" si="9"/>
        <v>4998</v>
      </c>
      <c r="Q211" s="5">
        <f t="shared" si="10"/>
        <v>4648.1399999999994</v>
      </c>
      <c r="R211" s="5">
        <f t="shared" si="11"/>
        <v>1138.7942999999998</v>
      </c>
    </row>
    <row r="212" spans="1:18">
      <c r="A212" s="3">
        <v>46197</v>
      </c>
      <c r="B212" t="s">
        <v>330</v>
      </c>
      <c r="C212" t="s">
        <v>18</v>
      </c>
      <c r="D212" t="s">
        <v>115</v>
      </c>
      <c r="E212" t="s">
        <v>26</v>
      </c>
      <c r="F212" t="s">
        <v>113</v>
      </c>
      <c r="G212" t="s">
        <v>22</v>
      </c>
      <c r="H212" t="s">
        <v>21</v>
      </c>
      <c r="I212" t="s">
        <v>69</v>
      </c>
      <c r="J212">
        <v>1</v>
      </c>
      <c r="K212" s="5">
        <v>2299</v>
      </c>
      <c r="L212" s="4">
        <v>0.15</v>
      </c>
      <c r="M212" t="s">
        <v>117</v>
      </c>
      <c r="N212">
        <v>4</v>
      </c>
      <c r="O212">
        <v>4</v>
      </c>
      <c r="P212" s="5">
        <f t="shared" si="9"/>
        <v>2299</v>
      </c>
      <c r="Q212" s="5">
        <f t="shared" si="10"/>
        <v>1954.1499999999999</v>
      </c>
      <c r="R212" s="5">
        <f t="shared" si="11"/>
        <v>488.53749999999997</v>
      </c>
    </row>
    <row r="213" spans="1:18">
      <c r="A213" s="3">
        <v>46323</v>
      </c>
      <c r="B213" t="s">
        <v>331</v>
      </c>
      <c r="C213" t="s">
        <v>24</v>
      </c>
      <c r="D213" t="s">
        <v>105</v>
      </c>
      <c r="E213" t="s">
        <v>14</v>
      </c>
      <c r="F213" t="s">
        <v>192</v>
      </c>
      <c r="G213" t="s">
        <v>22</v>
      </c>
      <c r="H213" t="s">
        <v>27</v>
      </c>
      <c r="I213" t="s">
        <v>69</v>
      </c>
      <c r="J213">
        <v>5</v>
      </c>
      <c r="K213" s="5">
        <v>2499</v>
      </c>
      <c r="L213" s="4">
        <v>0.15</v>
      </c>
      <c r="M213" t="s">
        <v>123</v>
      </c>
      <c r="N213">
        <v>6</v>
      </c>
      <c r="O213">
        <v>4</v>
      </c>
      <c r="P213" s="5">
        <f t="shared" si="9"/>
        <v>12495</v>
      </c>
      <c r="Q213" s="5">
        <f t="shared" si="10"/>
        <v>10620.75</v>
      </c>
      <c r="R213" s="5">
        <f t="shared" si="11"/>
        <v>2708.2912500000002</v>
      </c>
    </row>
    <row r="214" spans="1:18">
      <c r="A214" s="3">
        <v>46294</v>
      </c>
      <c r="B214" t="s">
        <v>332</v>
      </c>
      <c r="C214" t="s">
        <v>34</v>
      </c>
      <c r="D214" t="s">
        <v>120</v>
      </c>
      <c r="E214" t="s">
        <v>20</v>
      </c>
      <c r="F214" t="s">
        <v>106</v>
      </c>
      <c r="G214" t="s">
        <v>22</v>
      </c>
      <c r="H214" t="s">
        <v>21</v>
      </c>
      <c r="I214" t="s">
        <v>75</v>
      </c>
      <c r="J214">
        <v>1</v>
      </c>
      <c r="K214" s="5">
        <v>1799</v>
      </c>
      <c r="L214" s="4">
        <v>7.0000000000000007E-2</v>
      </c>
      <c r="M214" t="s">
        <v>85</v>
      </c>
      <c r="N214">
        <v>2</v>
      </c>
      <c r="O214">
        <v>5</v>
      </c>
      <c r="P214" s="5">
        <f t="shared" si="9"/>
        <v>1799</v>
      </c>
      <c r="Q214" s="5">
        <f t="shared" si="10"/>
        <v>1673.07</v>
      </c>
      <c r="R214" s="5">
        <f t="shared" si="11"/>
        <v>434.9982</v>
      </c>
    </row>
    <row r="215" spans="1:18">
      <c r="A215" s="3">
        <v>46083</v>
      </c>
      <c r="B215" t="s">
        <v>333</v>
      </c>
      <c r="C215" t="s">
        <v>41</v>
      </c>
      <c r="D215" t="s">
        <v>67</v>
      </c>
      <c r="E215" t="s">
        <v>36</v>
      </c>
      <c r="F215" t="s">
        <v>129</v>
      </c>
      <c r="G215" t="s">
        <v>22</v>
      </c>
      <c r="H215" t="s">
        <v>15</v>
      </c>
      <c r="I215" t="s">
        <v>96</v>
      </c>
      <c r="J215">
        <v>2</v>
      </c>
      <c r="K215" s="5">
        <v>699</v>
      </c>
      <c r="L215" s="4">
        <v>0.1</v>
      </c>
      <c r="M215" t="s">
        <v>70</v>
      </c>
      <c r="N215">
        <v>3</v>
      </c>
      <c r="O215">
        <v>5</v>
      </c>
      <c r="P215" s="5">
        <f t="shared" si="9"/>
        <v>1398</v>
      </c>
      <c r="Q215" s="5">
        <f t="shared" si="10"/>
        <v>1258.2</v>
      </c>
      <c r="R215" s="5">
        <f t="shared" si="11"/>
        <v>333.423</v>
      </c>
    </row>
    <row r="216" spans="1:18">
      <c r="A216" s="3">
        <v>46379</v>
      </c>
      <c r="B216" t="s">
        <v>334</v>
      </c>
      <c r="C216" t="s">
        <v>38</v>
      </c>
      <c r="D216" t="s">
        <v>83</v>
      </c>
      <c r="E216" t="s">
        <v>32</v>
      </c>
      <c r="F216" t="s">
        <v>88</v>
      </c>
      <c r="G216" t="s">
        <v>16</v>
      </c>
      <c r="H216" t="s">
        <v>15</v>
      </c>
      <c r="I216" t="s">
        <v>109</v>
      </c>
      <c r="J216">
        <v>1</v>
      </c>
      <c r="K216" s="5">
        <v>799</v>
      </c>
      <c r="L216" s="4">
        <v>7.0000000000000007E-2</v>
      </c>
      <c r="M216" t="s">
        <v>81</v>
      </c>
      <c r="N216">
        <v>2</v>
      </c>
      <c r="O216">
        <v>5</v>
      </c>
      <c r="P216" s="5">
        <f t="shared" si="9"/>
        <v>799</v>
      </c>
      <c r="Q216" s="5">
        <f t="shared" si="10"/>
        <v>743.06999999999994</v>
      </c>
      <c r="R216" s="5">
        <f t="shared" si="11"/>
        <v>200.62889999999999</v>
      </c>
    </row>
    <row r="217" spans="1:18">
      <c r="A217" s="3">
        <v>46212</v>
      </c>
      <c r="B217" t="s">
        <v>335</v>
      </c>
      <c r="C217" t="s">
        <v>30</v>
      </c>
      <c r="D217" t="s">
        <v>144</v>
      </c>
      <c r="E217" t="s">
        <v>36</v>
      </c>
      <c r="F217" t="s">
        <v>155</v>
      </c>
      <c r="G217" t="s">
        <v>16</v>
      </c>
      <c r="H217" t="s">
        <v>27</v>
      </c>
      <c r="I217" t="s">
        <v>96</v>
      </c>
      <c r="J217">
        <v>2</v>
      </c>
      <c r="K217" s="5">
        <v>899</v>
      </c>
      <c r="L217" s="4">
        <v>0.02</v>
      </c>
      <c r="M217" t="s">
        <v>85</v>
      </c>
      <c r="N217">
        <v>3</v>
      </c>
      <c r="O217">
        <v>5</v>
      </c>
      <c r="P217" s="5">
        <f t="shared" si="9"/>
        <v>1798</v>
      </c>
      <c r="Q217" s="5">
        <f t="shared" si="10"/>
        <v>1762.04</v>
      </c>
      <c r="R217" s="5">
        <f t="shared" si="11"/>
        <v>422.88959999999997</v>
      </c>
    </row>
    <row r="218" spans="1:18">
      <c r="A218" s="3">
        <v>46029</v>
      </c>
      <c r="B218" t="s">
        <v>336</v>
      </c>
      <c r="C218" t="s">
        <v>38</v>
      </c>
      <c r="D218" t="s">
        <v>83</v>
      </c>
      <c r="E218" t="s">
        <v>20</v>
      </c>
      <c r="F218" t="s">
        <v>133</v>
      </c>
      <c r="G218" t="s">
        <v>22</v>
      </c>
      <c r="H218" t="s">
        <v>15</v>
      </c>
      <c r="I218" t="s">
        <v>69</v>
      </c>
      <c r="J218">
        <v>2</v>
      </c>
      <c r="K218" s="5">
        <v>3499</v>
      </c>
      <c r="L218" s="4">
        <v>7.0000000000000007E-2</v>
      </c>
      <c r="M218" t="s">
        <v>123</v>
      </c>
      <c r="N218">
        <v>3</v>
      </c>
      <c r="O218">
        <v>5</v>
      </c>
      <c r="P218" s="5">
        <f t="shared" si="9"/>
        <v>6998</v>
      </c>
      <c r="Q218" s="5">
        <f t="shared" si="10"/>
        <v>6508.1399999999994</v>
      </c>
      <c r="R218" s="5">
        <f t="shared" si="11"/>
        <v>1594.4942999999998</v>
      </c>
    </row>
    <row r="219" spans="1:18">
      <c r="A219" s="3">
        <v>46128</v>
      </c>
      <c r="B219" t="s">
        <v>337</v>
      </c>
      <c r="C219" t="s">
        <v>24</v>
      </c>
      <c r="D219" t="s">
        <v>105</v>
      </c>
      <c r="E219" t="s">
        <v>26</v>
      </c>
      <c r="F219" t="s">
        <v>80</v>
      </c>
      <c r="G219" t="s">
        <v>16</v>
      </c>
      <c r="H219" t="s">
        <v>27</v>
      </c>
      <c r="I219" t="s">
        <v>109</v>
      </c>
      <c r="J219">
        <v>1</v>
      </c>
      <c r="K219" s="5">
        <v>1499</v>
      </c>
      <c r="L219" s="4">
        <v>0.1</v>
      </c>
      <c r="M219" t="s">
        <v>81</v>
      </c>
      <c r="N219">
        <v>4</v>
      </c>
      <c r="O219">
        <v>4.5</v>
      </c>
      <c r="P219" s="5">
        <f t="shared" si="9"/>
        <v>1499</v>
      </c>
      <c r="Q219" s="5">
        <f t="shared" si="10"/>
        <v>1349.1000000000001</v>
      </c>
      <c r="R219" s="5">
        <f t="shared" si="11"/>
        <v>337.27500000000003</v>
      </c>
    </row>
    <row r="220" spans="1:18">
      <c r="A220" s="3">
        <v>46193</v>
      </c>
      <c r="B220" t="s">
        <v>338</v>
      </c>
      <c r="C220" t="s">
        <v>47</v>
      </c>
      <c r="D220" t="s">
        <v>87</v>
      </c>
      <c r="E220" t="s">
        <v>26</v>
      </c>
      <c r="F220" t="s">
        <v>116</v>
      </c>
      <c r="G220" t="s">
        <v>22</v>
      </c>
      <c r="H220" t="s">
        <v>27</v>
      </c>
      <c r="I220" t="s">
        <v>96</v>
      </c>
      <c r="J220">
        <v>1</v>
      </c>
      <c r="K220" s="5">
        <v>899</v>
      </c>
      <c r="L220" s="4">
        <v>0.15</v>
      </c>
      <c r="M220" t="s">
        <v>70</v>
      </c>
      <c r="N220">
        <v>2</v>
      </c>
      <c r="O220">
        <v>4.5</v>
      </c>
      <c r="P220" s="5">
        <f t="shared" si="9"/>
        <v>899</v>
      </c>
      <c r="Q220" s="5">
        <f t="shared" si="10"/>
        <v>764.15</v>
      </c>
      <c r="R220" s="5">
        <f t="shared" si="11"/>
        <v>194.85825</v>
      </c>
    </row>
    <row r="221" spans="1:18">
      <c r="A221" s="3">
        <v>46061</v>
      </c>
      <c r="B221" t="s">
        <v>339</v>
      </c>
      <c r="C221" t="s">
        <v>30</v>
      </c>
      <c r="D221" t="s">
        <v>144</v>
      </c>
      <c r="E221" t="s">
        <v>26</v>
      </c>
      <c r="F221" t="s">
        <v>80</v>
      </c>
      <c r="G221" t="s">
        <v>28</v>
      </c>
      <c r="H221" t="s">
        <v>21</v>
      </c>
      <c r="I221" t="s">
        <v>109</v>
      </c>
      <c r="J221">
        <v>1</v>
      </c>
      <c r="K221" s="5">
        <v>1499</v>
      </c>
      <c r="L221" s="4">
        <v>0.12</v>
      </c>
      <c r="M221" t="s">
        <v>70</v>
      </c>
      <c r="N221">
        <v>3</v>
      </c>
      <c r="O221">
        <v>3.5</v>
      </c>
      <c r="P221" s="5">
        <f t="shared" si="9"/>
        <v>1499</v>
      </c>
      <c r="Q221" s="5">
        <f t="shared" si="10"/>
        <v>1319.1200000000001</v>
      </c>
      <c r="R221" s="5">
        <f t="shared" si="11"/>
        <v>342.97120000000007</v>
      </c>
    </row>
    <row r="222" spans="1:18">
      <c r="A222" s="3">
        <v>46370</v>
      </c>
      <c r="B222" t="s">
        <v>340</v>
      </c>
      <c r="C222" t="s">
        <v>78</v>
      </c>
      <c r="D222" t="s">
        <v>79</v>
      </c>
      <c r="E222" t="s">
        <v>32</v>
      </c>
      <c r="F222" t="s">
        <v>74</v>
      </c>
      <c r="G222" t="s">
        <v>28</v>
      </c>
      <c r="H222" t="s">
        <v>21</v>
      </c>
      <c r="I222" t="s">
        <v>69</v>
      </c>
      <c r="J222">
        <v>1</v>
      </c>
      <c r="K222" s="5">
        <v>1899</v>
      </c>
      <c r="L222" s="4">
        <v>0.15</v>
      </c>
      <c r="M222" t="s">
        <v>97</v>
      </c>
      <c r="N222">
        <v>3</v>
      </c>
      <c r="O222">
        <v>5</v>
      </c>
      <c r="P222" s="5">
        <f t="shared" si="9"/>
        <v>1899</v>
      </c>
      <c r="Q222" s="5">
        <f t="shared" si="10"/>
        <v>1614.1499999999999</v>
      </c>
      <c r="R222" s="5">
        <f t="shared" si="11"/>
        <v>427.74975000000001</v>
      </c>
    </row>
    <row r="223" spans="1:18">
      <c r="A223" s="3">
        <v>46336</v>
      </c>
      <c r="B223" t="s">
        <v>341</v>
      </c>
      <c r="C223" t="s">
        <v>18</v>
      </c>
      <c r="D223" t="s">
        <v>115</v>
      </c>
      <c r="E223" t="s">
        <v>20</v>
      </c>
      <c r="F223" t="s">
        <v>106</v>
      </c>
      <c r="G223" t="s">
        <v>28</v>
      </c>
      <c r="H223" t="s">
        <v>21</v>
      </c>
      <c r="I223" t="s">
        <v>109</v>
      </c>
      <c r="J223">
        <v>3</v>
      </c>
      <c r="K223" s="5">
        <v>1799</v>
      </c>
      <c r="L223" s="4">
        <v>0</v>
      </c>
      <c r="M223" t="s">
        <v>70</v>
      </c>
      <c r="N223">
        <v>3</v>
      </c>
      <c r="O223">
        <v>4.5</v>
      </c>
      <c r="P223" s="5">
        <f t="shared" si="9"/>
        <v>5397</v>
      </c>
      <c r="Q223" s="5">
        <f t="shared" si="10"/>
        <v>5397</v>
      </c>
      <c r="R223" s="5">
        <f t="shared" si="11"/>
        <v>1457.19</v>
      </c>
    </row>
    <row r="224" spans="1:18">
      <c r="A224" s="3">
        <v>46242</v>
      </c>
      <c r="B224" t="s">
        <v>342</v>
      </c>
      <c r="C224" t="s">
        <v>18</v>
      </c>
      <c r="D224" t="s">
        <v>115</v>
      </c>
      <c r="E224" t="s">
        <v>26</v>
      </c>
      <c r="F224" t="s">
        <v>116</v>
      </c>
      <c r="G224" t="s">
        <v>28</v>
      </c>
      <c r="H224" t="s">
        <v>27</v>
      </c>
      <c r="I224" t="s">
        <v>109</v>
      </c>
      <c r="J224">
        <v>1</v>
      </c>
      <c r="K224" s="5">
        <v>899</v>
      </c>
      <c r="L224" s="4">
        <v>0.15</v>
      </c>
      <c r="M224" t="s">
        <v>91</v>
      </c>
      <c r="N224">
        <v>1</v>
      </c>
      <c r="O224">
        <v>5</v>
      </c>
      <c r="P224" s="5">
        <f t="shared" si="9"/>
        <v>899</v>
      </c>
      <c r="Q224" s="5">
        <f t="shared" si="10"/>
        <v>764.15</v>
      </c>
      <c r="R224" s="5">
        <f t="shared" si="11"/>
        <v>183.39599999999999</v>
      </c>
    </row>
    <row r="225" spans="1:18">
      <c r="A225" s="3">
        <v>46041</v>
      </c>
      <c r="B225" t="s">
        <v>343</v>
      </c>
      <c r="C225" t="s">
        <v>47</v>
      </c>
      <c r="D225" t="s">
        <v>87</v>
      </c>
      <c r="E225" t="s">
        <v>14</v>
      </c>
      <c r="F225" t="s">
        <v>139</v>
      </c>
      <c r="G225" t="s">
        <v>22</v>
      </c>
      <c r="H225" t="s">
        <v>21</v>
      </c>
      <c r="I225" t="s">
        <v>96</v>
      </c>
      <c r="J225">
        <v>3</v>
      </c>
      <c r="K225" s="5">
        <v>2999</v>
      </c>
      <c r="L225" s="4">
        <v>0.05</v>
      </c>
      <c r="M225" t="s">
        <v>123</v>
      </c>
      <c r="N225">
        <v>4</v>
      </c>
      <c r="O225">
        <v>4</v>
      </c>
      <c r="P225" s="5">
        <f t="shared" si="9"/>
        <v>8997</v>
      </c>
      <c r="Q225" s="5">
        <f t="shared" si="10"/>
        <v>8547.15</v>
      </c>
      <c r="R225" s="5">
        <f t="shared" si="11"/>
        <v>2094.0517500000001</v>
      </c>
    </row>
    <row r="226" spans="1:18">
      <c r="A226" s="3">
        <v>46159</v>
      </c>
      <c r="B226" t="s">
        <v>344</v>
      </c>
      <c r="C226" t="s">
        <v>131</v>
      </c>
      <c r="D226" t="s">
        <v>132</v>
      </c>
      <c r="E226" t="s">
        <v>36</v>
      </c>
      <c r="F226" t="s">
        <v>68</v>
      </c>
      <c r="G226" t="s">
        <v>16</v>
      </c>
      <c r="H226" t="s">
        <v>15</v>
      </c>
      <c r="I226" t="s">
        <v>96</v>
      </c>
      <c r="J226">
        <v>4</v>
      </c>
      <c r="K226" s="5">
        <v>599</v>
      </c>
      <c r="L226" s="4">
        <v>0</v>
      </c>
      <c r="M226" t="s">
        <v>117</v>
      </c>
      <c r="N226">
        <v>3</v>
      </c>
      <c r="O226">
        <v>5</v>
      </c>
      <c r="P226" s="5">
        <f t="shared" si="9"/>
        <v>2396</v>
      </c>
      <c r="Q226" s="5">
        <f t="shared" si="10"/>
        <v>2396</v>
      </c>
      <c r="R226" s="5">
        <f t="shared" si="11"/>
        <v>599</v>
      </c>
    </row>
    <row r="227" spans="1:18">
      <c r="A227" s="3">
        <v>46288</v>
      </c>
      <c r="B227" t="s">
        <v>345</v>
      </c>
      <c r="C227" t="s">
        <v>72</v>
      </c>
      <c r="D227" t="s">
        <v>73</v>
      </c>
      <c r="E227" t="s">
        <v>36</v>
      </c>
      <c r="F227" t="s">
        <v>129</v>
      </c>
      <c r="G227" t="s">
        <v>22</v>
      </c>
      <c r="H227" t="s">
        <v>15</v>
      </c>
      <c r="I227" t="s">
        <v>75</v>
      </c>
      <c r="J227">
        <v>1</v>
      </c>
      <c r="K227" s="5">
        <v>699</v>
      </c>
      <c r="L227" s="4">
        <v>0.1</v>
      </c>
      <c r="M227" t="s">
        <v>117</v>
      </c>
      <c r="N227">
        <v>5</v>
      </c>
      <c r="O227">
        <v>4.5</v>
      </c>
      <c r="P227" s="5">
        <f t="shared" si="9"/>
        <v>699</v>
      </c>
      <c r="Q227" s="5">
        <f t="shared" si="10"/>
        <v>629.1</v>
      </c>
      <c r="R227" s="5">
        <f t="shared" si="11"/>
        <v>160.4205</v>
      </c>
    </row>
    <row r="228" spans="1:18">
      <c r="A228" s="3">
        <v>46024</v>
      </c>
      <c r="B228" t="s">
        <v>346</v>
      </c>
      <c r="C228" t="s">
        <v>93</v>
      </c>
      <c r="D228" t="s">
        <v>94</v>
      </c>
      <c r="E228" t="s">
        <v>32</v>
      </c>
      <c r="F228" t="s">
        <v>88</v>
      </c>
      <c r="G228" t="s">
        <v>16</v>
      </c>
      <c r="H228" t="s">
        <v>21</v>
      </c>
      <c r="I228" t="s">
        <v>135</v>
      </c>
      <c r="J228">
        <v>4</v>
      </c>
      <c r="K228" s="5">
        <v>799</v>
      </c>
      <c r="L228" s="4">
        <v>0.02</v>
      </c>
      <c r="M228" t="s">
        <v>117</v>
      </c>
      <c r="N228">
        <v>2</v>
      </c>
      <c r="O228">
        <v>4</v>
      </c>
      <c r="P228" s="5">
        <f t="shared" si="9"/>
        <v>3196</v>
      </c>
      <c r="Q228" s="5">
        <f t="shared" si="10"/>
        <v>3132.08</v>
      </c>
      <c r="R228" s="5">
        <f t="shared" si="11"/>
        <v>814.34080000000006</v>
      </c>
    </row>
    <row r="229" spans="1:18">
      <c r="A229" s="3">
        <v>46309</v>
      </c>
      <c r="B229" t="s">
        <v>347</v>
      </c>
      <c r="C229" t="s">
        <v>34</v>
      </c>
      <c r="D229" t="s">
        <v>120</v>
      </c>
      <c r="E229" t="s">
        <v>26</v>
      </c>
      <c r="F229" t="s">
        <v>116</v>
      </c>
      <c r="G229" t="s">
        <v>28</v>
      </c>
      <c r="H229" t="s">
        <v>21</v>
      </c>
      <c r="I229" t="s">
        <v>75</v>
      </c>
      <c r="J229">
        <v>2</v>
      </c>
      <c r="K229" s="5">
        <v>899</v>
      </c>
      <c r="L229" s="4">
        <v>0.05</v>
      </c>
      <c r="M229" t="s">
        <v>117</v>
      </c>
      <c r="N229">
        <v>5</v>
      </c>
      <c r="O229">
        <v>5</v>
      </c>
      <c r="P229" s="5">
        <f t="shared" si="9"/>
        <v>1798</v>
      </c>
      <c r="Q229" s="5">
        <f t="shared" si="10"/>
        <v>1708.1</v>
      </c>
      <c r="R229" s="5">
        <f t="shared" si="11"/>
        <v>452.6465</v>
      </c>
    </row>
    <row r="230" spans="1:18">
      <c r="A230" s="3">
        <v>46207</v>
      </c>
      <c r="B230" t="s">
        <v>348</v>
      </c>
      <c r="C230" t="s">
        <v>72</v>
      </c>
      <c r="D230" t="s">
        <v>73</v>
      </c>
      <c r="E230" t="s">
        <v>20</v>
      </c>
      <c r="F230" t="s">
        <v>111</v>
      </c>
      <c r="G230" t="s">
        <v>28</v>
      </c>
      <c r="H230" t="s">
        <v>15</v>
      </c>
      <c r="I230" t="s">
        <v>96</v>
      </c>
      <c r="J230">
        <v>3</v>
      </c>
      <c r="K230" s="5">
        <v>2799</v>
      </c>
      <c r="L230" s="4">
        <v>0.1</v>
      </c>
      <c r="M230" t="s">
        <v>91</v>
      </c>
      <c r="N230">
        <v>4</v>
      </c>
      <c r="O230">
        <v>4</v>
      </c>
      <c r="P230" s="5">
        <f t="shared" si="9"/>
        <v>8397</v>
      </c>
      <c r="Q230" s="5">
        <f t="shared" si="10"/>
        <v>7557.3</v>
      </c>
      <c r="R230" s="5">
        <f t="shared" si="11"/>
        <v>2040.4710000000002</v>
      </c>
    </row>
    <row r="231" spans="1:18">
      <c r="A231" s="3">
        <v>46231</v>
      </c>
      <c r="B231" t="s">
        <v>349</v>
      </c>
      <c r="C231" t="s">
        <v>24</v>
      </c>
      <c r="D231" t="s">
        <v>105</v>
      </c>
      <c r="E231" t="s">
        <v>20</v>
      </c>
      <c r="F231" t="s">
        <v>111</v>
      </c>
      <c r="G231" t="s">
        <v>28</v>
      </c>
      <c r="H231" t="s">
        <v>15</v>
      </c>
      <c r="I231" t="s">
        <v>96</v>
      </c>
      <c r="J231">
        <v>2</v>
      </c>
      <c r="K231" s="5">
        <v>2799</v>
      </c>
      <c r="L231" s="4">
        <v>0</v>
      </c>
      <c r="M231" t="s">
        <v>117</v>
      </c>
      <c r="N231">
        <v>2</v>
      </c>
      <c r="O231">
        <v>5</v>
      </c>
      <c r="P231" s="5">
        <f t="shared" si="9"/>
        <v>5598</v>
      </c>
      <c r="Q231" s="5">
        <f t="shared" si="10"/>
        <v>5598</v>
      </c>
      <c r="R231" s="5">
        <f t="shared" si="11"/>
        <v>1343.52</v>
      </c>
    </row>
    <row r="232" spans="1:18">
      <c r="A232" s="3">
        <v>46284</v>
      </c>
      <c r="B232" t="s">
        <v>350</v>
      </c>
      <c r="C232" t="s">
        <v>18</v>
      </c>
      <c r="D232" t="s">
        <v>115</v>
      </c>
      <c r="E232" t="s">
        <v>26</v>
      </c>
      <c r="F232" t="s">
        <v>84</v>
      </c>
      <c r="G232" t="s">
        <v>16</v>
      </c>
      <c r="H232" t="s">
        <v>21</v>
      </c>
      <c r="I232" t="s">
        <v>75</v>
      </c>
      <c r="J232">
        <v>2</v>
      </c>
      <c r="K232" s="5">
        <v>4499</v>
      </c>
      <c r="L232" s="4">
        <v>7.0000000000000007E-2</v>
      </c>
      <c r="M232" t="s">
        <v>97</v>
      </c>
      <c r="N232">
        <v>5</v>
      </c>
      <c r="O232">
        <v>5</v>
      </c>
      <c r="P232" s="5">
        <f t="shared" si="9"/>
        <v>8998</v>
      </c>
      <c r="Q232" s="5">
        <f t="shared" si="10"/>
        <v>8368.14</v>
      </c>
      <c r="R232" s="5">
        <f t="shared" si="11"/>
        <v>2050.1942999999997</v>
      </c>
    </row>
    <row r="233" spans="1:18">
      <c r="A233" s="3">
        <v>46265</v>
      </c>
      <c r="B233" t="s">
        <v>351</v>
      </c>
      <c r="C233" t="s">
        <v>44</v>
      </c>
      <c r="D233" t="s">
        <v>165</v>
      </c>
      <c r="E233" t="s">
        <v>14</v>
      </c>
      <c r="F233" t="s">
        <v>122</v>
      </c>
      <c r="G233" t="s">
        <v>28</v>
      </c>
      <c r="H233" t="s">
        <v>27</v>
      </c>
      <c r="I233" t="s">
        <v>109</v>
      </c>
      <c r="J233">
        <v>1</v>
      </c>
      <c r="K233" s="5">
        <v>3999</v>
      </c>
      <c r="L233" s="4">
        <v>0.1</v>
      </c>
      <c r="M233" t="s">
        <v>117</v>
      </c>
      <c r="N233">
        <v>3</v>
      </c>
      <c r="O233">
        <v>4.5</v>
      </c>
      <c r="P233" s="5">
        <f t="shared" si="9"/>
        <v>3999</v>
      </c>
      <c r="Q233" s="5">
        <f t="shared" si="10"/>
        <v>3599.1</v>
      </c>
      <c r="R233" s="5">
        <f t="shared" si="11"/>
        <v>899.77499999999998</v>
      </c>
    </row>
    <row r="234" spans="1:18">
      <c r="A234" s="3">
        <v>46255</v>
      </c>
      <c r="B234" t="s">
        <v>352</v>
      </c>
      <c r="C234" t="s">
        <v>18</v>
      </c>
      <c r="D234" t="s">
        <v>115</v>
      </c>
      <c r="E234" t="s">
        <v>32</v>
      </c>
      <c r="F234" t="s">
        <v>74</v>
      </c>
      <c r="G234" t="s">
        <v>28</v>
      </c>
      <c r="H234" t="s">
        <v>15</v>
      </c>
      <c r="I234" t="s">
        <v>69</v>
      </c>
      <c r="J234">
        <v>1</v>
      </c>
      <c r="K234" s="5">
        <v>1899</v>
      </c>
      <c r="L234" s="4">
        <v>0</v>
      </c>
      <c r="M234" t="s">
        <v>70</v>
      </c>
      <c r="N234">
        <v>6</v>
      </c>
      <c r="O234">
        <v>4.5</v>
      </c>
      <c r="P234" s="5">
        <f t="shared" si="9"/>
        <v>1899</v>
      </c>
      <c r="Q234" s="5">
        <f t="shared" si="10"/>
        <v>1899</v>
      </c>
      <c r="R234" s="5">
        <f t="shared" si="11"/>
        <v>484.245</v>
      </c>
    </row>
    <row r="235" spans="1:18">
      <c r="A235" s="3">
        <v>46138</v>
      </c>
      <c r="B235" t="s">
        <v>353</v>
      </c>
      <c r="C235" t="s">
        <v>30</v>
      </c>
      <c r="D235" t="s">
        <v>144</v>
      </c>
      <c r="E235" t="s">
        <v>32</v>
      </c>
      <c r="F235" t="s">
        <v>125</v>
      </c>
      <c r="G235" t="s">
        <v>16</v>
      </c>
      <c r="H235" t="s">
        <v>21</v>
      </c>
      <c r="I235" t="s">
        <v>135</v>
      </c>
      <c r="J235">
        <v>3</v>
      </c>
      <c r="K235" s="5">
        <v>1299</v>
      </c>
      <c r="L235" s="4">
        <v>0.05</v>
      </c>
      <c r="M235" t="s">
        <v>97</v>
      </c>
      <c r="N235">
        <v>3</v>
      </c>
      <c r="O235">
        <v>4.5</v>
      </c>
      <c r="P235" s="5">
        <f t="shared" si="9"/>
        <v>3897</v>
      </c>
      <c r="Q235" s="5">
        <f t="shared" si="10"/>
        <v>3702.1499999999996</v>
      </c>
      <c r="R235" s="5">
        <f t="shared" si="11"/>
        <v>962.55899999999997</v>
      </c>
    </row>
    <row r="236" spans="1:18">
      <c r="A236" s="3">
        <v>46028</v>
      </c>
      <c r="B236" t="s">
        <v>354</v>
      </c>
      <c r="C236" t="s">
        <v>38</v>
      </c>
      <c r="D236" t="s">
        <v>83</v>
      </c>
      <c r="E236" t="s">
        <v>20</v>
      </c>
      <c r="F236" t="s">
        <v>133</v>
      </c>
      <c r="G236" t="s">
        <v>28</v>
      </c>
      <c r="H236" t="s">
        <v>15</v>
      </c>
      <c r="I236" t="s">
        <v>96</v>
      </c>
      <c r="J236">
        <v>1</v>
      </c>
      <c r="K236" s="5">
        <v>3499</v>
      </c>
      <c r="L236" s="4">
        <v>0.12</v>
      </c>
      <c r="M236" t="s">
        <v>123</v>
      </c>
      <c r="N236">
        <v>3</v>
      </c>
      <c r="O236">
        <v>4</v>
      </c>
      <c r="P236" s="5">
        <f t="shared" si="9"/>
        <v>3499</v>
      </c>
      <c r="Q236" s="5">
        <f t="shared" si="10"/>
        <v>3079.12</v>
      </c>
      <c r="R236" s="5">
        <f t="shared" si="11"/>
        <v>815.96680000000003</v>
      </c>
    </row>
    <row r="237" spans="1:18">
      <c r="A237" s="3">
        <v>46371</v>
      </c>
      <c r="B237" t="s">
        <v>355</v>
      </c>
      <c r="C237" t="s">
        <v>30</v>
      </c>
      <c r="D237" t="s">
        <v>144</v>
      </c>
      <c r="E237" t="s">
        <v>20</v>
      </c>
      <c r="F237" t="s">
        <v>188</v>
      </c>
      <c r="G237" t="s">
        <v>22</v>
      </c>
      <c r="H237" t="s">
        <v>15</v>
      </c>
      <c r="I237" t="s">
        <v>75</v>
      </c>
      <c r="J237">
        <v>4</v>
      </c>
      <c r="K237" s="5">
        <v>2999</v>
      </c>
      <c r="L237" s="4">
        <v>0</v>
      </c>
      <c r="M237" t="s">
        <v>70</v>
      </c>
      <c r="N237">
        <v>6</v>
      </c>
      <c r="O237">
        <v>4</v>
      </c>
      <c r="P237" s="5">
        <f t="shared" si="9"/>
        <v>11996</v>
      </c>
      <c r="Q237" s="5">
        <f t="shared" si="10"/>
        <v>11996</v>
      </c>
      <c r="R237" s="5">
        <f t="shared" si="11"/>
        <v>3238.92</v>
      </c>
    </row>
    <row r="238" spans="1:18">
      <c r="A238" s="3">
        <v>46227</v>
      </c>
      <c r="B238" t="s">
        <v>356</v>
      </c>
      <c r="C238" t="s">
        <v>47</v>
      </c>
      <c r="D238" t="s">
        <v>87</v>
      </c>
      <c r="E238" t="s">
        <v>26</v>
      </c>
      <c r="F238" t="s">
        <v>80</v>
      </c>
      <c r="G238" t="s">
        <v>22</v>
      </c>
      <c r="H238" t="s">
        <v>27</v>
      </c>
      <c r="I238" t="s">
        <v>75</v>
      </c>
      <c r="J238">
        <v>4</v>
      </c>
      <c r="K238" s="5">
        <v>1499</v>
      </c>
      <c r="L238" s="4">
        <v>0</v>
      </c>
      <c r="M238" t="s">
        <v>117</v>
      </c>
      <c r="N238">
        <v>4</v>
      </c>
      <c r="O238">
        <v>4.5</v>
      </c>
      <c r="P238" s="5">
        <f t="shared" si="9"/>
        <v>5996</v>
      </c>
      <c r="Q238" s="5">
        <f t="shared" si="10"/>
        <v>5996</v>
      </c>
      <c r="R238" s="5">
        <f t="shared" si="11"/>
        <v>1439.04</v>
      </c>
    </row>
    <row r="239" spans="1:18">
      <c r="A239" s="3">
        <v>46122</v>
      </c>
      <c r="B239" t="s">
        <v>357</v>
      </c>
      <c r="C239" t="s">
        <v>131</v>
      </c>
      <c r="D239" t="s">
        <v>132</v>
      </c>
      <c r="E239" t="s">
        <v>20</v>
      </c>
      <c r="F239" t="s">
        <v>153</v>
      </c>
      <c r="G239" t="s">
        <v>16</v>
      </c>
      <c r="H239" t="s">
        <v>21</v>
      </c>
      <c r="I239" t="s">
        <v>96</v>
      </c>
      <c r="J239">
        <v>2</v>
      </c>
      <c r="K239" s="5">
        <v>1999</v>
      </c>
      <c r="L239" s="4">
        <v>0.12</v>
      </c>
      <c r="M239" t="s">
        <v>91</v>
      </c>
      <c r="N239">
        <v>4</v>
      </c>
      <c r="O239">
        <v>4</v>
      </c>
      <c r="P239" s="5">
        <f t="shared" si="9"/>
        <v>3998</v>
      </c>
      <c r="Q239" s="5">
        <f t="shared" si="10"/>
        <v>3518.2400000000002</v>
      </c>
      <c r="R239" s="5">
        <f t="shared" si="11"/>
        <v>861.96879999999999</v>
      </c>
    </row>
    <row r="240" spans="1:18">
      <c r="A240" s="3">
        <v>46067</v>
      </c>
      <c r="B240" t="s">
        <v>358</v>
      </c>
      <c r="C240" t="s">
        <v>47</v>
      </c>
      <c r="D240" t="s">
        <v>87</v>
      </c>
      <c r="E240" t="s">
        <v>26</v>
      </c>
      <c r="F240" t="s">
        <v>84</v>
      </c>
      <c r="G240" t="s">
        <v>16</v>
      </c>
      <c r="H240" t="s">
        <v>15</v>
      </c>
      <c r="I240" t="s">
        <v>96</v>
      </c>
      <c r="J240">
        <v>1</v>
      </c>
      <c r="K240" s="5">
        <v>4499</v>
      </c>
      <c r="L240" s="4">
        <v>7.0000000000000007E-2</v>
      </c>
      <c r="M240" t="s">
        <v>70</v>
      </c>
      <c r="N240">
        <v>5</v>
      </c>
      <c r="O240">
        <v>5</v>
      </c>
      <c r="P240" s="5">
        <f t="shared" si="9"/>
        <v>4499</v>
      </c>
      <c r="Q240" s="5">
        <f t="shared" si="10"/>
        <v>4184.07</v>
      </c>
      <c r="R240" s="5">
        <f t="shared" si="11"/>
        <v>1046.0174999999999</v>
      </c>
    </row>
    <row r="241" spans="1:18">
      <c r="A241" s="3">
        <v>46178</v>
      </c>
      <c r="B241" t="s">
        <v>359</v>
      </c>
      <c r="C241" t="s">
        <v>38</v>
      </c>
      <c r="D241" t="s">
        <v>83</v>
      </c>
      <c r="E241" t="s">
        <v>32</v>
      </c>
      <c r="F241" t="s">
        <v>90</v>
      </c>
      <c r="G241" t="s">
        <v>16</v>
      </c>
      <c r="H241" t="s">
        <v>21</v>
      </c>
      <c r="I241" t="s">
        <v>96</v>
      </c>
      <c r="J241">
        <v>2</v>
      </c>
      <c r="K241" s="5">
        <v>1599</v>
      </c>
      <c r="L241" s="4">
        <v>0.1</v>
      </c>
      <c r="M241" t="s">
        <v>81</v>
      </c>
      <c r="N241">
        <v>3</v>
      </c>
      <c r="O241">
        <v>4.5</v>
      </c>
      <c r="P241" s="5">
        <f t="shared" si="9"/>
        <v>3198</v>
      </c>
      <c r="Q241" s="5">
        <f t="shared" si="10"/>
        <v>2878.2000000000003</v>
      </c>
      <c r="R241" s="5">
        <f t="shared" si="11"/>
        <v>733.94100000000003</v>
      </c>
    </row>
    <row r="242" spans="1:18">
      <c r="A242" s="3">
        <v>46244</v>
      </c>
      <c r="B242" t="s">
        <v>360</v>
      </c>
      <c r="C242" t="s">
        <v>93</v>
      </c>
      <c r="D242" t="s">
        <v>94</v>
      </c>
      <c r="E242" t="s">
        <v>14</v>
      </c>
      <c r="F242" t="s">
        <v>122</v>
      </c>
      <c r="G242" t="s">
        <v>16</v>
      </c>
      <c r="H242" t="s">
        <v>21</v>
      </c>
      <c r="I242" t="s">
        <v>135</v>
      </c>
      <c r="J242">
        <v>4</v>
      </c>
      <c r="K242" s="5">
        <v>3999</v>
      </c>
      <c r="L242" s="4">
        <v>0.02</v>
      </c>
      <c r="M242" t="s">
        <v>70</v>
      </c>
      <c r="N242">
        <v>6</v>
      </c>
      <c r="O242">
        <v>4</v>
      </c>
      <c r="P242" s="5">
        <f t="shared" si="9"/>
        <v>15996</v>
      </c>
      <c r="Q242" s="5">
        <f t="shared" si="10"/>
        <v>15676.08</v>
      </c>
      <c r="R242" s="5">
        <f t="shared" si="11"/>
        <v>4075.7808</v>
      </c>
    </row>
    <row r="243" spans="1:18">
      <c r="A243" s="3">
        <v>46115</v>
      </c>
      <c r="B243" t="s">
        <v>361</v>
      </c>
      <c r="C243" t="s">
        <v>44</v>
      </c>
      <c r="D243" t="s">
        <v>165</v>
      </c>
      <c r="E243" t="s">
        <v>36</v>
      </c>
      <c r="F243" t="s">
        <v>129</v>
      </c>
      <c r="G243" t="s">
        <v>22</v>
      </c>
      <c r="H243" t="s">
        <v>27</v>
      </c>
      <c r="I243" t="s">
        <v>96</v>
      </c>
      <c r="J243">
        <v>4</v>
      </c>
      <c r="K243" s="5">
        <v>699</v>
      </c>
      <c r="L243" s="4">
        <v>0.05</v>
      </c>
      <c r="M243" t="s">
        <v>85</v>
      </c>
      <c r="N243">
        <v>2</v>
      </c>
      <c r="O243">
        <v>5</v>
      </c>
      <c r="P243" s="5">
        <f t="shared" si="9"/>
        <v>2796</v>
      </c>
      <c r="Q243" s="5">
        <f t="shared" si="10"/>
        <v>2656.2</v>
      </c>
      <c r="R243" s="5">
        <f t="shared" si="11"/>
        <v>703.89300000000003</v>
      </c>
    </row>
    <row r="244" spans="1:18">
      <c r="A244" s="3">
        <v>46275</v>
      </c>
      <c r="B244" t="s">
        <v>362</v>
      </c>
      <c r="C244" t="s">
        <v>47</v>
      </c>
      <c r="D244" t="s">
        <v>87</v>
      </c>
      <c r="E244" t="s">
        <v>20</v>
      </c>
      <c r="F244" t="s">
        <v>153</v>
      </c>
      <c r="G244" t="s">
        <v>22</v>
      </c>
      <c r="H244" t="s">
        <v>27</v>
      </c>
      <c r="I244" t="s">
        <v>109</v>
      </c>
      <c r="J244">
        <v>2</v>
      </c>
      <c r="K244" s="5">
        <v>1999</v>
      </c>
      <c r="L244" s="4">
        <v>7.0000000000000007E-2</v>
      </c>
      <c r="M244" t="s">
        <v>70</v>
      </c>
      <c r="N244">
        <v>6</v>
      </c>
      <c r="O244">
        <v>4</v>
      </c>
      <c r="P244" s="5">
        <f t="shared" si="9"/>
        <v>3998</v>
      </c>
      <c r="Q244" s="5">
        <f t="shared" si="10"/>
        <v>3718.14</v>
      </c>
      <c r="R244" s="5">
        <f t="shared" si="11"/>
        <v>1003.8978000000001</v>
      </c>
    </row>
    <row r="245" spans="1:18">
      <c r="A245" s="3">
        <v>46119</v>
      </c>
      <c r="B245" t="s">
        <v>363</v>
      </c>
      <c r="C245" t="s">
        <v>18</v>
      </c>
      <c r="D245" t="s">
        <v>115</v>
      </c>
      <c r="E245" t="s">
        <v>26</v>
      </c>
      <c r="F245" t="s">
        <v>116</v>
      </c>
      <c r="G245" t="s">
        <v>16</v>
      </c>
      <c r="H245" t="s">
        <v>15</v>
      </c>
      <c r="I245" t="s">
        <v>69</v>
      </c>
      <c r="J245">
        <v>1</v>
      </c>
      <c r="K245" s="5">
        <v>899</v>
      </c>
      <c r="L245" s="4">
        <v>0.1</v>
      </c>
      <c r="M245" t="s">
        <v>97</v>
      </c>
      <c r="N245">
        <v>2</v>
      </c>
      <c r="O245">
        <v>4.5</v>
      </c>
      <c r="P245" s="5">
        <f t="shared" si="9"/>
        <v>899</v>
      </c>
      <c r="Q245" s="5">
        <f t="shared" si="10"/>
        <v>809.1</v>
      </c>
      <c r="R245" s="5">
        <f t="shared" si="11"/>
        <v>194.184</v>
      </c>
    </row>
    <row r="246" spans="1:18">
      <c r="A246" s="3">
        <v>46117</v>
      </c>
      <c r="B246" t="s">
        <v>364</v>
      </c>
      <c r="C246" t="s">
        <v>18</v>
      </c>
      <c r="D246" t="s">
        <v>115</v>
      </c>
      <c r="E246" t="s">
        <v>26</v>
      </c>
      <c r="F246" t="s">
        <v>116</v>
      </c>
      <c r="G246" t="s">
        <v>28</v>
      </c>
      <c r="H246" t="s">
        <v>21</v>
      </c>
      <c r="I246" t="s">
        <v>69</v>
      </c>
      <c r="J246">
        <v>1</v>
      </c>
      <c r="K246" s="5">
        <v>899</v>
      </c>
      <c r="L246" s="4">
        <v>0.12</v>
      </c>
      <c r="M246" t="s">
        <v>81</v>
      </c>
      <c r="N246">
        <v>3</v>
      </c>
      <c r="O246">
        <v>4</v>
      </c>
      <c r="P246" s="5">
        <f t="shared" si="9"/>
        <v>899</v>
      </c>
      <c r="Q246" s="5">
        <f t="shared" si="10"/>
        <v>791.12</v>
      </c>
      <c r="R246" s="5">
        <f t="shared" si="11"/>
        <v>193.8244</v>
      </c>
    </row>
    <row r="247" spans="1:18">
      <c r="A247" s="3">
        <v>46235</v>
      </c>
      <c r="B247" t="s">
        <v>365</v>
      </c>
      <c r="C247" t="s">
        <v>78</v>
      </c>
      <c r="D247" t="s">
        <v>79</v>
      </c>
      <c r="E247" t="s">
        <v>36</v>
      </c>
      <c r="F247" t="s">
        <v>155</v>
      </c>
      <c r="G247" t="s">
        <v>28</v>
      </c>
      <c r="H247" t="s">
        <v>21</v>
      </c>
      <c r="I247" t="s">
        <v>135</v>
      </c>
      <c r="J247">
        <v>1</v>
      </c>
      <c r="K247" s="5">
        <v>899</v>
      </c>
      <c r="L247" s="4">
        <v>0.1</v>
      </c>
      <c r="M247" t="s">
        <v>97</v>
      </c>
      <c r="N247">
        <v>6</v>
      </c>
      <c r="O247">
        <v>4.5</v>
      </c>
      <c r="P247" s="5">
        <f t="shared" si="9"/>
        <v>899</v>
      </c>
      <c r="Q247" s="5">
        <f t="shared" si="10"/>
        <v>809.1</v>
      </c>
      <c r="R247" s="5">
        <f t="shared" si="11"/>
        <v>202.27500000000001</v>
      </c>
    </row>
    <row r="248" spans="1:18">
      <c r="A248" s="3">
        <v>46066</v>
      </c>
      <c r="B248" t="s">
        <v>366</v>
      </c>
      <c r="C248" t="s">
        <v>47</v>
      </c>
      <c r="D248" t="s">
        <v>87</v>
      </c>
      <c r="E248" t="s">
        <v>20</v>
      </c>
      <c r="F248" t="s">
        <v>106</v>
      </c>
      <c r="G248" t="s">
        <v>16</v>
      </c>
      <c r="H248" t="s">
        <v>15</v>
      </c>
      <c r="I248" t="s">
        <v>96</v>
      </c>
      <c r="J248">
        <v>3</v>
      </c>
      <c r="K248" s="5">
        <v>1799</v>
      </c>
      <c r="L248" s="4">
        <v>0.05</v>
      </c>
      <c r="M248" t="s">
        <v>123</v>
      </c>
      <c r="N248">
        <v>3</v>
      </c>
      <c r="O248">
        <v>4.5</v>
      </c>
      <c r="P248" s="5">
        <f t="shared" si="9"/>
        <v>5397</v>
      </c>
      <c r="Q248" s="5">
        <f t="shared" si="10"/>
        <v>5127.1499999999996</v>
      </c>
      <c r="R248" s="5">
        <f t="shared" si="11"/>
        <v>1307.4232499999998</v>
      </c>
    </row>
    <row r="249" spans="1:18">
      <c r="A249" s="3">
        <v>46370</v>
      </c>
      <c r="B249" t="s">
        <v>367</v>
      </c>
      <c r="C249" t="s">
        <v>44</v>
      </c>
      <c r="D249" t="s">
        <v>165</v>
      </c>
      <c r="E249" t="s">
        <v>26</v>
      </c>
      <c r="F249" t="s">
        <v>100</v>
      </c>
      <c r="G249" t="s">
        <v>22</v>
      </c>
      <c r="H249" t="s">
        <v>15</v>
      </c>
      <c r="I249" t="s">
        <v>96</v>
      </c>
      <c r="J249">
        <v>2</v>
      </c>
      <c r="K249" s="5">
        <v>5999</v>
      </c>
      <c r="L249" s="4">
        <v>0.15</v>
      </c>
      <c r="M249" t="s">
        <v>91</v>
      </c>
      <c r="N249">
        <v>1</v>
      </c>
      <c r="O249">
        <v>3.5</v>
      </c>
      <c r="P249" s="5">
        <f t="shared" si="9"/>
        <v>11998</v>
      </c>
      <c r="Q249" s="5">
        <f t="shared" si="10"/>
        <v>10198.299999999999</v>
      </c>
      <c r="R249" s="5">
        <f t="shared" si="11"/>
        <v>2651.558</v>
      </c>
    </row>
    <row r="250" spans="1:18">
      <c r="A250" s="3">
        <v>46053</v>
      </c>
      <c r="B250" t="s">
        <v>368</v>
      </c>
      <c r="C250" t="s">
        <v>78</v>
      </c>
      <c r="D250" t="s">
        <v>79</v>
      </c>
      <c r="E250" t="s">
        <v>20</v>
      </c>
      <c r="F250" t="s">
        <v>106</v>
      </c>
      <c r="G250" t="s">
        <v>22</v>
      </c>
      <c r="H250" t="s">
        <v>27</v>
      </c>
      <c r="I250" t="s">
        <v>96</v>
      </c>
      <c r="J250">
        <v>1</v>
      </c>
      <c r="K250" s="5">
        <v>1799</v>
      </c>
      <c r="L250" s="4">
        <v>0.02</v>
      </c>
      <c r="M250" t="s">
        <v>97</v>
      </c>
      <c r="N250">
        <v>3</v>
      </c>
      <c r="O250">
        <v>4.5</v>
      </c>
      <c r="P250" s="5">
        <f t="shared" si="9"/>
        <v>1799</v>
      </c>
      <c r="Q250" s="5">
        <f t="shared" si="10"/>
        <v>1763.02</v>
      </c>
      <c r="R250" s="5">
        <f t="shared" si="11"/>
        <v>467.20030000000003</v>
      </c>
    </row>
    <row r="251" spans="1:18">
      <c r="A251" s="3">
        <v>46223</v>
      </c>
      <c r="B251" t="s">
        <v>369</v>
      </c>
      <c r="C251" t="s">
        <v>44</v>
      </c>
      <c r="D251" t="s">
        <v>165</v>
      </c>
      <c r="E251" t="s">
        <v>36</v>
      </c>
      <c r="F251" t="s">
        <v>155</v>
      </c>
      <c r="G251" t="s">
        <v>28</v>
      </c>
      <c r="H251" t="s">
        <v>27</v>
      </c>
      <c r="I251" t="s">
        <v>96</v>
      </c>
      <c r="J251">
        <v>1</v>
      </c>
      <c r="K251" s="5">
        <v>899</v>
      </c>
      <c r="L251" s="4">
        <v>7.0000000000000007E-2</v>
      </c>
      <c r="M251" t="s">
        <v>97</v>
      </c>
      <c r="N251">
        <v>2</v>
      </c>
      <c r="O251">
        <v>4</v>
      </c>
      <c r="P251" s="5">
        <f t="shared" si="9"/>
        <v>899</v>
      </c>
      <c r="Q251" s="5">
        <f t="shared" si="10"/>
        <v>836.06999999999994</v>
      </c>
      <c r="R251" s="5">
        <f t="shared" si="11"/>
        <v>225.7389</v>
      </c>
    </row>
    <row r="252" spans="1:18">
      <c r="A252" s="3">
        <v>46313</v>
      </c>
      <c r="B252" t="s">
        <v>370</v>
      </c>
      <c r="C252" t="s">
        <v>24</v>
      </c>
      <c r="D252" t="s">
        <v>105</v>
      </c>
      <c r="E252" t="s">
        <v>36</v>
      </c>
      <c r="F252" t="s">
        <v>68</v>
      </c>
      <c r="G252" t="s">
        <v>28</v>
      </c>
      <c r="H252" t="s">
        <v>27</v>
      </c>
      <c r="I252" t="s">
        <v>109</v>
      </c>
      <c r="J252">
        <v>2</v>
      </c>
      <c r="K252" s="5">
        <v>599</v>
      </c>
      <c r="L252" s="4">
        <v>0</v>
      </c>
      <c r="M252" t="s">
        <v>76</v>
      </c>
      <c r="N252">
        <v>4</v>
      </c>
      <c r="O252">
        <v>5</v>
      </c>
      <c r="P252" s="5">
        <f t="shared" si="9"/>
        <v>1198</v>
      </c>
      <c r="Q252" s="5">
        <f t="shared" si="10"/>
        <v>1198</v>
      </c>
      <c r="R252" s="5">
        <f t="shared" si="11"/>
        <v>287.52</v>
      </c>
    </row>
    <row r="253" spans="1:18">
      <c r="A253" s="3">
        <v>46262</v>
      </c>
      <c r="B253" t="s">
        <v>371</v>
      </c>
      <c r="C253" t="s">
        <v>38</v>
      </c>
      <c r="D253" t="s">
        <v>83</v>
      </c>
      <c r="E253" t="s">
        <v>36</v>
      </c>
      <c r="F253" t="s">
        <v>155</v>
      </c>
      <c r="G253" t="s">
        <v>22</v>
      </c>
      <c r="H253" t="s">
        <v>21</v>
      </c>
      <c r="I253" t="s">
        <v>69</v>
      </c>
      <c r="J253">
        <v>3</v>
      </c>
      <c r="K253" s="5">
        <v>899</v>
      </c>
      <c r="L253" s="4">
        <v>0.02</v>
      </c>
      <c r="M253" t="s">
        <v>91</v>
      </c>
      <c r="N253">
        <v>1</v>
      </c>
      <c r="O253">
        <v>4.5</v>
      </c>
      <c r="P253" s="5">
        <f t="shared" si="9"/>
        <v>2697</v>
      </c>
      <c r="Q253" s="5">
        <f t="shared" si="10"/>
        <v>2643.06</v>
      </c>
      <c r="R253" s="5">
        <f t="shared" si="11"/>
        <v>647.54970000000003</v>
      </c>
    </row>
    <row r="254" spans="1:18">
      <c r="A254" s="3">
        <v>46305</v>
      </c>
      <c r="B254" t="s">
        <v>372</v>
      </c>
      <c r="C254" t="s">
        <v>38</v>
      </c>
      <c r="D254" t="s">
        <v>83</v>
      </c>
      <c r="E254" t="s">
        <v>36</v>
      </c>
      <c r="F254" t="s">
        <v>95</v>
      </c>
      <c r="G254" t="s">
        <v>16</v>
      </c>
      <c r="H254" t="s">
        <v>21</v>
      </c>
      <c r="I254" t="s">
        <v>69</v>
      </c>
      <c r="J254">
        <v>2</v>
      </c>
      <c r="K254" s="5">
        <v>999</v>
      </c>
      <c r="L254" s="4">
        <v>0.1</v>
      </c>
      <c r="M254" t="s">
        <v>117</v>
      </c>
      <c r="N254">
        <v>6</v>
      </c>
      <c r="O254">
        <v>5</v>
      </c>
      <c r="P254" s="5">
        <f t="shared" si="9"/>
        <v>1998</v>
      </c>
      <c r="Q254" s="5">
        <f t="shared" si="10"/>
        <v>1798.2</v>
      </c>
      <c r="R254" s="5">
        <f t="shared" si="11"/>
        <v>449.55</v>
      </c>
    </row>
    <row r="255" spans="1:18">
      <c r="A255" s="3">
        <v>46178</v>
      </c>
      <c r="B255" t="s">
        <v>373</v>
      </c>
      <c r="C255" t="s">
        <v>34</v>
      </c>
      <c r="D255" t="s">
        <v>120</v>
      </c>
      <c r="E255" t="s">
        <v>36</v>
      </c>
      <c r="F255" t="s">
        <v>155</v>
      </c>
      <c r="G255" t="s">
        <v>22</v>
      </c>
      <c r="H255" t="s">
        <v>21</v>
      </c>
      <c r="I255" t="s">
        <v>75</v>
      </c>
      <c r="J255">
        <v>5</v>
      </c>
      <c r="K255" s="5">
        <v>899</v>
      </c>
      <c r="L255" s="4">
        <v>0.15</v>
      </c>
      <c r="M255" t="s">
        <v>123</v>
      </c>
      <c r="N255">
        <v>3</v>
      </c>
      <c r="O255">
        <v>3.5</v>
      </c>
      <c r="P255" s="5">
        <f t="shared" si="9"/>
        <v>4495</v>
      </c>
      <c r="Q255" s="5">
        <f t="shared" si="10"/>
        <v>3820.75</v>
      </c>
      <c r="R255" s="5">
        <f t="shared" si="11"/>
        <v>974.29124999999999</v>
      </c>
    </row>
    <row r="256" spans="1:18">
      <c r="A256" s="3">
        <v>46239</v>
      </c>
      <c r="B256" t="s">
        <v>374</v>
      </c>
      <c r="C256" t="s">
        <v>18</v>
      </c>
      <c r="D256" t="s">
        <v>115</v>
      </c>
      <c r="E256" t="s">
        <v>32</v>
      </c>
      <c r="F256" t="s">
        <v>159</v>
      </c>
      <c r="G256" t="s">
        <v>22</v>
      </c>
      <c r="H256" t="s">
        <v>21</v>
      </c>
      <c r="I256" t="s">
        <v>109</v>
      </c>
      <c r="J256">
        <v>4</v>
      </c>
      <c r="K256" s="5">
        <v>2499</v>
      </c>
      <c r="L256" s="4">
        <v>0.1</v>
      </c>
      <c r="M256" t="s">
        <v>117</v>
      </c>
      <c r="N256">
        <v>2</v>
      </c>
      <c r="O256">
        <v>4.5</v>
      </c>
      <c r="P256" s="5">
        <f t="shared" si="9"/>
        <v>9996</v>
      </c>
      <c r="Q256" s="5">
        <f t="shared" si="10"/>
        <v>8996.4</v>
      </c>
      <c r="R256" s="5">
        <f t="shared" si="11"/>
        <v>2339.0639999999999</v>
      </c>
    </row>
    <row r="257" spans="1:18">
      <c r="A257" s="3">
        <v>46046</v>
      </c>
      <c r="B257" t="s">
        <v>375</v>
      </c>
      <c r="C257" t="s">
        <v>38</v>
      </c>
      <c r="D257" t="s">
        <v>83</v>
      </c>
      <c r="E257" t="s">
        <v>32</v>
      </c>
      <c r="F257" t="s">
        <v>88</v>
      </c>
      <c r="G257" t="s">
        <v>22</v>
      </c>
      <c r="H257" t="s">
        <v>15</v>
      </c>
      <c r="I257" t="s">
        <v>109</v>
      </c>
      <c r="J257">
        <v>2</v>
      </c>
      <c r="K257" s="5">
        <v>799</v>
      </c>
      <c r="L257" s="4">
        <v>7.0000000000000007E-2</v>
      </c>
      <c r="M257" t="s">
        <v>76</v>
      </c>
      <c r="N257">
        <v>3</v>
      </c>
      <c r="O257">
        <v>4</v>
      </c>
      <c r="P257" s="5">
        <f t="shared" si="9"/>
        <v>1598</v>
      </c>
      <c r="Q257" s="5">
        <f t="shared" si="10"/>
        <v>1486.1399999999999</v>
      </c>
      <c r="R257" s="5">
        <f t="shared" si="11"/>
        <v>393.82709999999997</v>
      </c>
    </row>
    <row r="258" spans="1:18">
      <c r="A258" s="3">
        <v>46329</v>
      </c>
      <c r="B258" t="s">
        <v>376</v>
      </c>
      <c r="C258" t="s">
        <v>78</v>
      </c>
      <c r="D258" t="s">
        <v>79</v>
      </c>
      <c r="E258" t="s">
        <v>36</v>
      </c>
      <c r="F258" t="s">
        <v>155</v>
      </c>
      <c r="G258" t="s">
        <v>16</v>
      </c>
      <c r="H258" t="s">
        <v>21</v>
      </c>
      <c r="I258" t="s">
        <v>109</v>
      </c>
      <c r="J258">
        <v>2</v>
      </c>
      <c r="K258" s="5">
        <v>899</v>
      </c>
      <c r="L258" s="4">
        <v>0.1</v>
      </c>
      <c r="M258" t="s">
        <v>123</v>
      </c>
      <c r="N258">
        <v>6</v>
      </c>
      <c r="O258">
        <v>4.5</v>
      </c>
      <c r="P258" s="5">
        <f t="shared" ref="P258:P301" si="12">J258*K258</f>
        <v>1798</v>
      </c>
      <c r="Q258" s="5">
        <f t="shared" ref="Q258:Q321" si="13">P258*(1-L258)</f>
        <v>1618.2</v>
      </c>
      <c r="R258" s="5">
        <f t="shared" ref="R258:R321" si="14">Q258*(0.24+MOD(ROW(),7)*0.005)</f>
        <v>436.91400000000004</v>
      </c>
    </row>
    <row r="259" spans="1:18">
      <c r="A259" s="3">
        <v>46170</v>
      </c>
      <c r="B259" t="s">
        <v>377</v>
      </c>
      <c r="C259" t="s">
        <v>72</v>
      </c>
      <c r="D259" t="s">
        <v>73</v>
      </c>
      <c r="E259" t="s">
        <v>20</v>
      </c>
      <c r="F259" t="s">
        <v>133</v>
      </c>
      <c r="G259" t="s">
        <v>28</v>
      </c>
      <c r="H259" t="s">
        <v>15</v>
      </c>
      <c r="I259" t="s">
        <v>96</v>
      </c>
      <c r="J259">
        <v>2</v>
      </c>
      <c r="K259" s="5">
        <v>3499</v>
      </c>
      <c r="L259" s="4">
        <v>0.15</v>
      </c>
      <c r="M259" t="s">
        <v>76</v>
      </c>
      <c r="N259">
        <v>3</v>
      </c>
      <c r="O259">
        <v>5</v>
      </c>
      <c r="P259" s="5">
        <f t="shared" si="12"/>
        <v>6998</v>
      </c>
      <c r="Q259" s="5">
        <f t="shared" si="13"/>
        <v>5948.3</v>
      </c>
      <c r="R259" s="5">
        <f t="shared" si="14"/>
        <v>1427.5920000000001</v>
      </c>
    </row>
    <row r="260" spans="1:18">
      <c r="A260" s="3">
        <v>46316</v>
      </c>
      <c r="B260" t="s">
        <v>378</v>
      </c>
      <c r="C260" t="s">
        <v>78</v>
      </c>
      <c r="D260" t="s">
        <v>79</v>
      </c>
      <c r="E260" t="s">
        <v>20</v>
      </c>
      <c r="F260" t="s">
        <v>111</v>
      </c>
      <c r="G260" t="s">
        <v>22</v>
      </c>
      <c r="H260" t="s">
        <v>27</v>
      </c>
      <c r="I260" t="s">
        <v>135</v>
      </c>
      <c r="J260">
        <v>2</v>
      </c>
      <c r="K260" s="5">
        <v>2799</v>
      </c>
      <c r="L260" s="4">
        <v>0.12</v>
      </c>
      <c r="M260" t="s">
        <v>123</v>
      </c>
      <c r="N260">
        <v>2</v>
      </c>
      <c r="O260">
        <v>5</v>
      </c>
      <c r="P260" s="5">
        <f t="shared" si="12"/>
        <v>5598</v>
      </c>
      <c r="Q260" s="5">
        <f t="shared" si="13"/>
        <v>4926.24</v>
      </c>
      <c r="R260" s="5">
        <f t="shared" si="14"/>
        <v>1206.9287999999999</v>
      </c>
    </row>
    <row r="261" spans="1:18">
      <c r="A261" s="3">
        <v>46198</v>
      </c>
      <c r="B261" t="s">
        <v>379</v>
      </c>
      <c r="C261" t="s">
        <v>18</v>
      </c>
      <c r="D261" t="s">
        <v>115</v>
      </c>
      <c r="E261" t="s">
        <v>26</v>
      </c>
      <c r="F261" t="s">
        <v>80</v>
      </c>
      <c r="G261" t="s">
        <v>28</v>
      </c>
      <c r="H261" t="s">
        <v>21</v>
      </c>
      <c r="I261" t="s">
        <v>96</v>
      </c>
      <c r="J261">
        <v>3</v>
      </c>
      <c r="K261" s="5">
        <v>1499</v>
      </c>
      <c r="L261" s="4">
        <v>0</v>
      </c>
      <c r="M261" t="s">
        <v>91</v>
      </c>
      <c r="N261">
        <v>3</v>
      </c>
      <c r="O261">
        <v>4</v>
      </c>
      <c r="P261" s="5">
        <f t="shared" si="12"/>
        <v>4497</v>
      </c>
      <c r="Q261" s="5">
        <f t="shared" si="13"/>
        <v>4497</v>
      </c>
      <c r="R261" s="5">
        <f t="shared" si="14"/>
        <v>1124.25</v>
      </c>
    </row>
    <row r="262" spans="1:18">
      <c r="A262" s="3">
        <v>46306</v>
      </c>
      <c r="B262" t="s">
        <v>380</v>
      </c>
      <c r="C262" t="s">
        <v>24</v>
      </c>
      <c r="D262" t="s">
        <v>105</v>
      </c>
      <c r="E262" t="s">
        <v>32</v>
      </c>
      <c r="F262" t="s">
        <v>74</v>
      </c>
      <c r="G262" t="s">
        <v>28</v>
      </c>
      <c r="H262" t="s">
        <v>15</v>
      </c>
      <c r="I262" t="s">
        <v>69</v>
      </c>
      <c r="J262">
        <v>3</v>
      </c>
      <c r="K262" s="5">
        <v>1899</v>
      </c>
      <c r="L262" s="4">
        <v>7.0000000000000007E-2</v>
      </c>
      <c r="M262" t="s">
        <v>117</v>
      </c>
      <c r="N262">
        <v>3</v>
      </c>
      <c r="O262">
        <v>5</v>
      </c>
      <c r="P262" s="5">
        <f t="shared" si="12"/>
        <v>5697</v>
      </c>
      <c r="Q262" s="5">
        <f t="shared" si="13"/>
        <v>5298.21</v>
      </c>
      <c r="R262" s="5">
        <f t="shared" si="14"/>
        <v>1351.0435500000001</v>
      </c>
    </row>
    <row r="263" spans="1:18">
      <c r="A263" s="3">
        <v>46074</v>
      </c>
      <c r="B263" t="s">
        <v>381</v>
      </c>
      <c r="C263" t="s">
        <v>93</v>
      </c>
      <c r="D263" t="s">
        <v>94</v>
      </c>
      <c r="E263" t="s">
        <v>32</v>
      </c>
      <c r="F263" t="s">
        <v>74</v>
      </c>
      <c r="G263" t="s">
        <v>22</v>
      </c>
      <c r="H263" t="s">
        <v>27</v>
      </c>
      <c r="I263" t="s">
        <v>75</v>
      </c>
      <c r="J263">
        <v>1</v>
      </c>
      <c r="K263" s="5">
        <v>1899</v>
      </c>
      <c r="L263" s="4">
        <v>0</v>
      </c>
      <c r="M263" t="s">
        <v>91</v>
      </c>
      <c r="N263">
        <v>2</v>
      </c>
      <c r="O263">
        <v>4</v>
      </c>
      <c r="P263" s="5">
        <f t="shared" si="12"/>
        <v>1899</v>
      </c>
      <c r="Q263" s="5">
        <f t="shared" si="13"/>
        <v>1899</v>
      </c>
      <c r="R263" s="5">
        <f t="shared" si="14"/>
        <v>493.74</v>
      </c>
    </row>
    <row r="264" spans="1:18">
      <c r="A264" s="3">
        <v>46118</v>
      </c>
      <c r="B264" t="s">
        <v>382</v>
      </c>
      <c r="C264" t="s">
        <v>38</v>
      </c>
      <c r="D264" t="s">
        <v>83</v>
      </c>
      <c r="E264" t="s">
        <v>32</v>
      </c>
      <c r="F264" t="s">
        <v>90</v>
      </c>
      <c r="G264" t="s">
        <v>16</v>
      </c>
      <c r="H264" t="s">
        <v>15</v>
      </c>
      <c r="I264" t="s">
        <v>135</v>
      </c>
      <c r="J264">
        <v>2</v>
      </c>
      <c r="K264" s="5">
        <v>1599</v>
      </c>
      <c r="L264" s="4">
        <v>0.02</v>
      </c>
      <c r="M264" t="s">
        <v>91</v>
      </c>
      <c r="N264">
        <v>2</v>
      </c>
      <c r="O264">
        <v>4.5</v>
      </c>
      <c r="P264" s="5">
        <f t="shared" si="12"/>
        <v>3198</v>
      </c>
      <c r="Q264" s="5">
        <f t="shared" si="13"/>
        <v>3134.04</v>
      </c>
      <c r="R264" s="5">
        <f t="shared" si="14"/>
        <v>830.52060000000006</v>
      </c>
    </row>
    <row r="265" spans="1:18">
      <c r="A265" s="3">
        <v>46274</v>
      </c>
      <c r="B265" t="s">
        <v>383</v>
      </c>
      <c r="C265" t="s">
        <v>78</v>
      </c>
      <c r="D265" t="s">
        <v>79</v>
      </c>
      <c r="E265" t="s">
        <v>32</v>
      </c>
      <c r="F265" t="s">
        <v>125</v>
      </c>
      <c r="G265" t="s">
        <v>28</v>
      </c>
      <c r="H265" t="s">
        <v>21</v>
      </c>
      <c r="I265" t="s">
        <v>69</v>
      </c>
      <c r="J265">
        <v>2</v>
      </c>
      <c r="K265" s="5">
        <v>1299</v>
      </c>
      <c r="L265" s="4">
        <v>0.1</v>
      </c>
      <c r="M265" t="s">
        <v>81</v>
      </c>
      <c r="N265">
        <v>1</v>
      </c>
      <c r="O265">
        <v>3.5</v>
      </c>
      <c r="P265" s="5">
        <f t="shared" si="12"/>
        <v>2598</v>
      </c>
      <c r="Q265" s="5">
        <f t="shared" si="13"/>
        <v>2338.2000000000003</v>
      </c>
      <c r="R265" s="5">
        <f t="shared" si="14"/>
        <v>631.31400000000008</v>
      </c>
    </row>
    <row r="266" spans="1:18">
      <c r="A266" s="3">
        <v>46281</v>
      </c>
      <c r="B266" t="s">
        <v>384</v>
      </c>
      <c r="C266" t="s">
        <v>24</v>
      </c>
      <c r="D266" t="s">
        <v>105</v>
      </c>
      <c r="E266" t="s">
        <v>14</v>
      </c>
      <c r="F266" t="s">
        <v>122</v>
      </c>
      <c r="G266" t="s">
        <v>16</v>
      </c>
      <c r="H266" t="s">
        <v>27</v>
      </c>
      <c r="I266" t="s">
        <v>109</v>
      </c>
      <c r="J266">
        <v>5</v>
      </c>
      <c r="K266" s="5">
        <v>3999</v>
      </c>
      <c r="L266" s="4">
        <v>0.02</v>
      </c>
      <c r="M266" t="s">
        <v>91</v>
      </c>
      <c r="N266">
        <v>3</v>
      </c>
      <c r="O266">
        <v>5</v>
      </c>
      <c r="P266" s="5">
        <f t="shared" si="12"/>
        <v>19995</v>
      </c>
      <c r="Q266" s="5">
        <f t="shared" si="13"/>
        <v>19595.099999999999</v>
      </c>
      <c r="R266" s="5">
        <f t="shared" si="14"/>
        <v>4702.8239999999996</v>
      </c>
    </row>
    <row r="267" spans="1:18">
      <c r="A267" s="3">
        <v>46278</v>
      </c>
      <c r="B267" t="s">
        <v>385</v>
      </c>
      <c r="C267" t="s">
        <v>47</v>
      </c>
      <c r="D267" t="s">
        <v>87</v>
      </c>
      <c r="E267" t="s">
        <v>14</v>
      </c>
      <c r="F267" t="s">
        <v>122</v>
      </c>
      <c r="G267" t="s">
        <v>22</v>
      </c>
      <c r="H267" t="s">
        <v>15</v>
      </c>
      <c r="I267" t="s">
        <v>69</v>
      </c>
      <c r="J267">
        <v>3</v>
      </c>
      <c r="K267" s="5">
        <v>3999</v>
      </c>
      <c r="L267" s="4">
        <v>7.0000000000000007E-2</v>
      </c>
      <c r="M267" t="s">
        <v>76</v>
      </c>
      <c r="N267">
        <v>5</v>
      </c>
      <c r="O267">
        <v>5</v>
      </c>
      <c r="P267" s="5">
        <f t="shared" si="12"/>
        <v>11997</v>
      </c>
      <c r="Q267" s="5">
        <f t="shared" si="13"/>
        <v>11157.21</v>
      </c>
      <c r="R267" s="5">
        <f t="shared" si="14"/>
        <v>2733.5164499999996</v>
      </c>
    </row>
    <row r="268" spans="1:18">
      <c r="A268" s="3">
        <v>46111</v>
      </c>
      <c r="B268" t="s">
        <v>386</v>
      </c>
      <c r="C268" t="s">
        <v>18</v>
      </c>
      <c r="D268" t="s">
        <v>115</v>
      </c>
      <c r="E268" t="s">
        <v>26</v>
      </c>
      <c r="F268" t="s">
        <v>116</v>
      </c>
      <c r="G268" t="s">
        <v>16</v>
      </c>
      <c r="H268" t="s">
        <v>15</v>
      </c>
      <c r="I268" t="s">
        <v>96</v>
      </c>
      <c r="J268">
        <v>3</v>
      </c>
      <c r="K268" s="5">
        <v>899</v>
      </c>
      <c r="L268" s="4">
        <v>0.02</v>
      </c>
      <c r="M268" t="s">
        <v>81</v>
      </c>
      <c r="N268">
        <v>3</v>
      </c>
      <c r="O268">
        <v>3.5</v>
      </c>
      <c r="P268" s="5">
        <f t="shared" si="12"/>
        <v>2697</v>
      </c>
      <c r="Q268" s="5">
        <f t="shared" si="13"/>
        <v>2643.06</v>
      </c>
      <c r="R268" s="5">
        <f t="shared" si="14"/>
        <v>660.76499999999999</v>
      </c>
    </row>
    <row r="269" spans="1:18">
      <c r="A269" s="3">
        <v>46182</v>
      </c>
      <c r="B269" t="s">
        <v>387</v>
      </c>
      <c r="C269" t="s">
        <v>34</v>
      </c>
      <c r="D269" t="s">
        <v>120</v>
      </c>
      <c r="E269" t="s">
        <v>20</v>
      </c>
      <c r="F269" t="s">
        <v>106</v>
      </c>
      <c r="G269" t="s">
        <v>16</v>
      </c>
      <c r="H269" t="s">
        <v>15</v>
      </c>
      <c r="I269" t="s">
        <v>75</v>
      </c>
      <c r="J269">
        <v>1</v>
      </c>
      <c r="K269" s="5">
        <v>1799</v>
      </c>
      <c r="L269" s="4">
        <v>0.15</v>
      </c>
      <c r="M269" t="s">
        <v>123</v>
      </c>
      <c r="N269">
        <v>2</v>
      </c>
      <c r="O269">
        <v>5</v>
      </c>
      <c r="P269" s="5">
        <f t="shared" si="12"/>
        <v>1799</v>
      </c>
      <c r="Q269" s="5">
        <f t="shared" si="13"/>
        <v>1529.1499999999999</v>
      </c>
      <c r="R269" s="5">
        <f t="shared" si="14"/>
        <v>389.93324999999999</v>
      </c>
    </row>
    <row r="270" spans="1:18">
      <c r="A270" s="3">
        <v>46048</v>
      </c>
      <c r="B270" t="s">
        <v>388</v>
      </c>
      <c r="C270" t="s">
        <v>93</v>
      </c>
      <c r="D270" t="s">
        <v>94</v>
      </c>
      <c r="E270" t="s">
        <v>32</v>
      </c>
      <c r="F270" t="s">
        <v>159</v>
      </c>
      <c r="G270" t="s">
        <v>16</v>
      </c>
      <c r="H270" t="s">
        <v>15</v>
      </c>
      <c r="I270" t="s">
        <v>135</v>
      </c>
      <c r="J270">
        <v>3</v>
      </c>
      <c r="K270" s="5">
        <v>2499</v>
      </c>
      <c r="L270" s="4">
        <v>0</v>
      </c>
      <c r="M270" t="s">
        <v>117</v>
      </c>
      <c r="N270">
        <v>6</v>
      </c>
      <c r="O270">
        <v>4.5</v>
      </c>
      <c r="P270" s="5">
        <f t="shared" si="12"/>
        <v>7497</v>
      </c>
      <c r="Q270" s="5">
        <f t="shared" si="13"/>
        <v>7497</v>
      </c>
      <c r="R270" s="5">
        <f t="shared" si="14"/>
        <v>1949.22</v>
      </c>
    </row>
    <row r="271" spans="1:18">
      <c r="A271" s="3">
        <v>46142</v>
      </c>
      <c r="B271" t="s">
        <v>389</v>
      </c>
      <c r="C271" t="s">
        <v>93</v>
      </c>
      <c r="D271" t="s">
        <v>94</v>
      </c>
      <c r="E271" t="s">
        <v>20</v>
      </c>
      <c r="F271" t="s">
        <v>111</v>
      </c>
      <c r="G271" t="s">
        <v>16</v>
      </c>
      <c r="H271" t="s">
        <v>21</v>
      </c>
      <c r="I271" t="s">
        <v>75</v>
      </c>
      <c r="J271">
        <v>1</v>
      </c>
      <c r="K271" s="5">
        <v>2799</v>
      </c>
      <c r="L271" s="4">
        <v>0.15</v>
      </c>
      <c r="M271" t="s">
        <v>81</v>
      </c>
      <c r="N271">
        <v>3</v>
      </c>
      <c r="O271">
        <v>4</v>
      </c>
      <c r="P271" s="5">
        <f t="shared" si="12"/>
        <v>2799</v>
      </c>
      <c r="Q271" s="5">
        <f t="shared" si="13"/>
        <v>2379.15</v>
      </c>
      <c r="R271" s="5">
        <f t="shared" si="14"/>
        <v>630.47475000000009</v>
      </c>
    </row>
    <row r="272" spans="1:18">
      <c r="A272" s="3">
        <v>46236</v>
      </c>
      <c r="B272" t="s">
        <v>390</v>
      </c>
      <c r="C272" t="s">
        <v>24</v>
      </c>
      <c r="D272" t="s">
        <v>105</v>
      </c>
      <c r="E272" t="s">
        <v>20</v>
      </c>
      <c r="F272" t="s">
        <v>106</v>
      </c>
      <c r="G272" t="s">
        <v>22</v>
      </c>
      <c r="H272" t="s">
        <v>27</v>
      </c>
      <c r="I272" t="s">
        <v>75</v>
      </c>
      <c r="J272">
        <v>1</v>
      </c>
      <c r="K272" s="5">
        <v>1799</v>
      </c>
      <c r="L272" s="4">
        <v>0.02</v>
      </c>
      <c r="M272" t="s">
        <v>97</v>
      </c>
      <c r="N272">
        <v>4</v>
      </c>
      <c r="O272">
        <v>4.5</v>
      </c>
      <c r="P272" s="5">
        <f t="shared" si="12"/>
        <v>1799</v>
      </c>
      <c r="Q272" s="5">
        <f t="shared" si="13"/>
        <v>1763.02</v>
      </c>
      <c r="R272" s="5">
        <f t="shared" si="14"/>
        <v>476.0154</v>
      </c>
    </row>
    <row r="273" spans="1:18">
      <c r="A273" s="3">
        <v>46085</v>
      </c>
      <c r="B273" t="s">
        <v>391</v>
      </c>
      <c r="C273" t="s">
        <v>38</v>
      </c>
      <c r="D273" t="s">
        <v>83</v>
      </c>
      <c r="E273" t="s">
        <v>32</v>
      </c>
      <c r="F273" t="s">
        <v>74</v>
      </c>
      <c r="G273" t="s">
        <v>22</v>
      </c>
      <c r="H273" t="s">
        <v>27</v>
      </c>
      <c r="I273" t="s">
        <v>69</v>
      </c>
      <c r="J273">
        <v>1</v>
      </c>
      <c r="K273" s="5">
        <v>1899</v>
      </c>
      <c r="L273" s="4">
        <v>0.02</v>
      </c>
      <c r="M273" t="s">
        <v>97</v>
      </c>
      <c r="N273">
        <v>4</v>
      </c>
      <c r="O273">
        <v>4.5</v>
      </c>
      <c r="P273" s="5">
        <f t="shared" si="12"/>
        <v>1899</v>
      </c>
      <c r="Q273" s="5">
        <f t="shared" si="13"/>
        <v>1861.02</v>
      </c>
      <c r="R273" s="5">
        <f t="shared" si="14"/>
        <v>446.64479999999998</v>
      </c>
    </row>
    <row r="274" spans="1:18">
      <c r="A274" s="3">
        <v>46215</v>
      </c>
      <c r="B274" t="s">
        <v>392</v>
      </c>
      <c r="C274" t="s">
        <v>93</v>
      </c>
      <c r="D274" t="s">
        <v>94</v>
      </c>
      <c r="E274" t="s">
        <v>20</v>
      </c>
      <c r="F274" t="s">
        <v>153</v>
      </c>
      <c r="G274" t="s">
        <v>28</v>
      </c>
      <c r="H274" t="s">
        <v>21</v>
      </c>
      <c r="I274" t="s">
        <v>75</v>
      </c>
      <c r="J274">
        <v>3</v>
      </c>
      <c r="K274" s="5">
        <v>1999</v>
      </c>
      <c r="L274" s="4">
        <v>0.02</v>
      </c>
      <c r="M274" t="s">
        <v>91</v>
      </c>
      <c r="N274">
        <v>6</v>
      </c>
      <c r="O274">
        <v>4</v>
      </c>
      <c r="P274" s="5">
        <f t="shared" si="12"/>
        <v>5997</v>
      </c>
      <c r="Q274" s="5">
        <f t="shared" si="13"/>
        <v>5877.0599999999995</v>
      </c>
      <c r="R274" s="5">
        <f t="shared" si="14"/>
        <v>1439.8797</v>
      </c>
    </row>
    <row r="275" spans="1:18">
      <c r="A275" s="3">
        <v>46173</v>
      </c>
      <c r="B275" t="s">
        <v>393</v>
      </c>
      <c r="C275" t="s">
        <v>93</v>
      </c>
      <c r="D275" t="s">
        <v>94</v>
      </c>
      <c r="E275" t="s">
        <v>36</v>
      </c>
      <c r="F275" t="s">
        <v>129</v>
      </c>
      <c r="G275" t="s">
        <v>16</v>
      </c>
      <c r="H275" t="s">
        <v>15</v>
      </c>
      <c r="I275" t="s">
        <v>135</v>
      </c>
      <c r="J275">
        <v>5</v>
      </c>
      <c r="K275" s="5">
        <v>699</v>
      </c>
      <c r="L275" s="4">
        <v>0.05</v>
      </c>
      <c r="M275" t="s">
        <v>97</v>
      </c>
      <c r="N275">
        <v>2</v>
      </c>
      <c r="O275">
        <v>4</v>
      </c>
      <c r="P275" s="5">
        <f t="shared" si="12"/>
        <v>3495</v>
      </c>
      <c r="Q275" s="5">
        <f t="shared" si="13"/>
        <v>3320.25</v>
      </c>
      <c r="R275" s="5">
        <f t="shared" si="14"/>
        <v>830.0625</v>
      </c>
    </row>
    <row r="276" spans="1:18">
      <c r="A276" s="3">
        <v>46264</v>
      </c>
      <c r="B276" t="s">
        <v>394</v>
      </c>
      <c r="C276" t="s">
        <v>93</v>
      </c>
      <c r="D276" t="s">
        <v>94</v>
      </c>
      <c r="E276" t="s">
        <v>32</v>
      </c>
      <c r="F276" t="s">
        <v>74</v>
      </c>
      <c r="G276" t="s">
        <v>28</v>
      </c>
      <c r="H276" t="s">
        <v>15</v>
      </c>
      <c r="I276" t="s">
        <v>135</v>
      </c>
      <c r="J276">
        <v>1</v>
      </c>
      <c r="K276" s="5">
        <v>1899</v>
      </c>
      <c r="L276" s="4">
        <v>0.15</v>
      </c>
      <c r="M276" t="s">
        <v>76</v>
      </c>
      <c r="N276">
        <v>4</v>
      </c>
      <c r="O276">
        <v>4.5</v>
      </c>
      <c r="P276" s="5">
        <f t="shared" si="12"/>
        <v>1899</v>
      </c>
      <c r="Q276" s="5">
        <f t="shared" si="13"/>
        <v>1614.1499999999999</v>
      </c>
      <c r="R276" s="5">
        <f t="shared" si="14"/>
        <v>411.60825</v>
      </c>
    </row>
    <row r="277" spans="1:18">
      <c r="A277" s="3">
        <v>46317</v>
      </c>
      <c r="B277" t="s">
        <v>395</v>
      </c>
      <c r="C277" t="s">
        <v>72</v>
      </c>
      <c r="D277" t="s">
        <v>73</v>
      </c>
      <c r="E277" t="s">
        <v>32</v>
      </c>
      <c r="F277" t="s">
        <v>88</v>
      </c>
      <c r="G277" t="s">
        <v>28</v>
      </c>
      <c r="H277" t="s">
        <v>21</v>
      </c>
      <c r="I277" t="s">
        <v>109</v>
      </c>
      <c r="J277">
        <v>5</v>
      </c>
      <c r="K277" s="5">
        <v>799</v>
      </c>
      <c r="L277" s="4">
        <v>0.15</v>
      </c>
      <c r="M277" t="s">
        <v>91</v>
      </c>
      <c r="N277">
        <v>4</v>
      </c>
      <c r="O277">
        <v>4</v>
      </c>
      <c r="P277" s="5">
        <f t="shared" si="12"/>
        <v>3995</v>
      </c>
      <c r="Q277" s="5">
        <f t="shared" si="13"/>
        <v>3395.75</v>
      </c>
      <c r="R277" s="5">
        <f t="shared" si="14"/>
        <v>882.89499999999998</v>
      </c>
    </row>
    <row r="278" spans="1:18">
      <c r="A278" s="3">
        <v>46096</v>
      </c>
      <c r="B278" t="s">
        <v>396</v>
      </c>
      <c r="C278" t="s">
        <v>24</v>
      </c>
      <c r="D278" t="s">
        <v>105</v>
      </c>
      <c r="E278" t="s">
        <v>14</v>
      </c>
      <c r="F278" t="s">
        <v>192</v>
      </c>
      <c r="G278" t="s">
        <v>28</v>
      </c>
      <c r="H278" t="s">
        <v>21</v>
      </c>
      <c r="I278" t="s">
        <v>109</v>
      </c>
      <c r="J278">
        <v>3</v>
      </c>
      <c r="K278" s="5">
        <v>2499</v>
      </c>
      <c r="L278" s="4">
        <v>7.0000000000000007E-2</v>
      </c>
      <c r="M278" t="s">
        <v>117</v>
      </c>
      <c r="N278">
        <v>3</v>
      </c>
      <c r="O278">
        <v>3.5</v>
      </c>
      <c r="P278" s="5">
        <f t="shared" si="12"/>
        <v>7497</v>
      </c>
      <c r="Q278" s="5">
        <f t="shared" si="13"/>
        <v>6972.2099999999991</v>
      </c>
      <c r="R278" s="5">
        <f t="shared" si="14"/>
        <v>1847.6356499999999</v>
      </c>
    </row>
    <row r="279" spans="1:18">
      <c r="A279" s="3">
        <v>46187</v>
      </c>
      <c r="B279" t="s">
        <v>397</v>
      </c>
      <c r="C279" t="s">
        <v>44</v>
      </c>
      <c r="D279" t="s">
        <v>165</v>
      </c>
      <c r="E279" t="s">
        <v>32</v>
      </c>
      <c r="F279" t="s">
        <v>74</v>
      </c>
      <c r="G279" t="s">
        <v>16</v>
      </c>
      <c r="H279" t="s">
        <v>15</v>
      </c>
      <c r="I279" t="s">
        <v>109</v>
      </c>
      <c r="J279">
        <v>1</v>
      </c>
      <c r="K279" s="5">
        <v>1899</v>
      </c>
      <c r="L279" s="4">
        <v>7.0000000000000007E-2</v>
      </c>
      <c r="M279" t="s">
        <v>81</v>
      </c>
      <c r="N279">
        <v>6</v>
      </c>
      <c r="O279">
        <v>5</v>
      </c>
      <c r="P279" s="5">
        <f t="shared" si="12"/>
        <v>1899</v>
      </c>
      <c r="Q279" s="5">
        <f t="shared" si="13"/>
        <v>1766.07</v>
      </c>
      <c r="R279" s="5">
        <f t="shared" si="14"/>
        <v>476.83890000000002</v>
      </c>
    </row>
    <row r="280" spans="1:18">
      <c r="A280" s="3">
        <v>46224</v>
      </c>
      <c r="B280" t="s">
        <v>398</v>
      </c>
      <c r="C280" t="s">
        <v>131</v>
      </c>
      <c r="D280" t="s">
        <v>132</v>
      </c>
      <c r="E280" t="s">
        <v>26</v>
      </c>
      <c r="F280" t="s">
        <v>116</v>
      </c>
      <c r="G280" t="s">
        <v>28</v>
      </c>
      <c r="H280" t="s">
        <v>27</v>
      </c>
      <c r="I280" t="s">
        <v>135</v>
      </c>
      <c r="J280">
        <v>1</v>
      </c>
      <c r="K280" s="5">
        <v>899</v>
      </c>
      <c r="L280" s="4">
        <v>0.1</v>
      </c>
      <c r="M280" t="s">
        <v>81</v>
      </c>
      <c r="N280">
        <v>4</v>
      </c>
      <c r="O280">
        <v>4.5</v>
      </c>
      <c r="P280" s="5">
        <f t="shared" si="12"/>
        <v>899</v>
      </c>
      <c r="Q280" s="5">
        <f t="shared" si="13"/>
        <v>809.1</v>
      </c>
      <c r="R280" s="5">
        <f t="shared" si="14"/>
        <v>194.184</v>
      </c>
    </row>
    <row r="281" spans="1:18">
      <c r="A281" s="3">
        <v>46289</v>
      </c>
      <c r="B281" t="s">
        <v>399</v>
      </c>
      <c r="C281" t="s">
        <v>34</v>
      </c>
      <c r="D281" t="s">
        <v>120</v>
      </c>
      <c r="E281" t="s">
        <v>26</v>
      </c>
      <c r="F281" t="s">
        <v>100</v>
      </c>
      <c r="G281" t="s">
        <v>28</v>
      </c>
      <c r="H281" t="s">
        <v>27</v>
      </c>
      <c r="I281" t="s">
        <v>135</v>
      </c>
      <c r="J281">
        <v>2</v>
      </c>
      <c r="K281" s="5">
        <v>5999</v>
      </c>
      <c r="L281" s="4">
        <v>0.02</v>
      </c>
      <c r="M281" t="s">
        <v>97</v>
      </c>
      <c r="N281">
        <v>4</v>
      </c>
      <c r="O281">
        <v>4.5</v>
      </c>
      <c r="P281" s="5">
        <f t="shared" si="12"/>
        <v>11998</v>
      </c>
      <c r="Q281" s="5">
        <f t="shared" si="13"/>
        <v>11758.039999999999</v>
      </c>
      <c r="R281" s="5">
        <f t="shared" si="14"/>
        <v>2880.7197999999999</v>
      </c>
    </row>
    <row r="282" spans="1:18">
      <c r="A282" s="3">
        <v>46342</v>
      </c>
      <c r="B282" t="s">
        <v>400</v>
      </c>
      <c r="C282" t="s">
        <v>24</v>
      </c>
      <c r="D282" t="s">
        <v>105</v>
      </c>
      <c r="E282" t="s">
        <v>14</v>
      </c>
      <c r="F282" t="s">
        <v>108</v>
      </c>
      <c r="G282" t="s">
        <v>16</v>
      </c>
      <c r="H282" t="s">
        <v>21</v>
      </c>
      <c r="I282" t="s">
        <v>96</v>
      </c>
      <c r="J282">
        <v>1</v>
      </c>
      <c r="K282" s="5">
        <v>1999</v>
      </c>
      <c r="L282" s="4">
        <v>0</v>
      </c>
      <c r="M282" t="s">
        <v>85</v>
      </c>
      <c r="N282">
        <v>4</v>
      </c>
      <c r="O282">
        <v>4.5</v>
      </c>
      <c r="P282" s="5">
        <f t="shared" si="12"/>
        <v>1999</v>
      </c>
      <c r="Q282" s="5">
        <f t="shared" si="13"/>
        <v>1999</v>
      </c>
      <c r="R282" s="5">
        <f t="shared" si="14"/>
        <v>499.75</v>
      </c>
    </row>
    <row r="283" spans="1:18">
      <c r="A283" s="3">
        <v>46088</v>
      </c>
      <c r="B283" t="s">
        <v>401</v>
      </c>
      <c r="C283" t="s">
        <v>18</v>
      </c>
      <c r="D283" t="s">
        <v>115</v>
      </c>
      <c r="E283" t="s">
        <v>26</v>
      </c>
      <c r="F283" t="s">
        <v>100</v>
      </c>
      <c r="G283" t="s">
        <v>28</v>
      </c>
      <c r="H283" t="s">
        <v>27</v>
      </c>
      <c r="I283" t="s">
        <v>69</v>
      </c>
      <c r="J283">
        <v>3</v>
      </c>
      <c r="K283" s="5">
        <v>5999</v>
      </c>
      <c r="L283" s="4">
        <v>0.05</v>
      </c>
      <c r="M283" t="s">
        <v>81</v>
      </c>
      <c r="N283">
        <v>6</v>
      </c>
      <c r="O283">
        <v>3</v>
      </c>
      <c r="P283" s="5">
        <f t="shared" si="12"/>
        <v>17997</v>
      </c>
      <c r="Q283" s="5">
        <f t="shared" si="13"/>
        <v>17097.149999999998</v>
      </c>
      <c r="R283" s="5">
        <f t="shared" si="14"/>
        <v>4359.7732499999993</v>
      </c>
    </row>
    <row r="284" spans="1:18">
      <c r="A284" s="3">
        <v>46368</v>
      </c>
      <c r="B284" t="s">
        <v>402</v>
      </c>
      <c r="C284" t="s">
        <v>34</v>
      </c>
      <c r="D284" t="s">
        <v>120</v>
      </c>
      <c r="E284" t="s">
        <v>26</v>
      </c>
      <c r="F284" t="s">
        <v>100</v>
      </c>
      <c r="G284" t="s">
        <v>28</v>
      </c>
      <c r="H284" t="s">
        <v>21</v>
      </c>
      <c r="I284" t="s">
        <v>135</v>
      </c>
      <c r="J284">
        <v>1</v>
      </c>
      <c r="K284" s="5">
        <v>5999</v>
      </c>
      <c r="L284" s="4">
        <v>0</v>
      </c>
      <c r="M284" t="s">
        <v>123</v>
      </c>
      <c r="N284">
        <v>1</v>
      </c>
      <c r="O284">
        <v>4</v>
      </c>
      <c r="P284" s="5">
        <f t="shared" si="12"/>
        <v>5999</v>
      </c>
      <c r="Q284" s="5">
        <f t="shared" si="13"/>
        <v>5999</v>
      </c>
      <c r="R284" s="5">
        <f t="shared" si="14"/>
        <v>1559.74</v>
      </c>
    </row>
    <row r="285" spans="1:18">
      <c r="A285" s="3">
        <v>46173</v>
      </c>
      <c r="B285" t="s">
        <v>403</v>
      </c>
      <c r="C285" t="s">
        <v>44</v>
      </c>
      <c r="D285" t="s">
        <v>165</v>
      </c>
      <c r="E285" t="s">
        <v>36</v>
      </c>
      <c r="F285" t="s">
        <v>103</v>
      </c>
      <c r="G285" t="s">
        <v>22</v>
      </c>
      <c r="H285" t="s">
        <v>15</v>
      </c>
      <c r="I285" t="s">
        <v>96</v>
      </c>
      <c r="J285">
        <v>1</v>
      </c>
      <c r="K285" s="5">
        <v>499</v>
      </c>
      <c r="L285" s="4">
        <v>0.02</v>
      </c>
      <c r="M285" t="s">
        <v>70</v>
      </c>
      <c r="N285">
        <v>3</v>
      </c>
      <c r="O285">
        <v>4</v>
      </c>
      <c r="P285" s="5">
        <f t="shared" si="12"/>
        <v>499</v>
      </c>
      <c r="Q285" s="5">
        <f t="shared" si="13"/>
        <v>489.02</v>
      </c>
      <c r="R285" s="5">
        <f t="shared" si="14"/>
        <v>129.59030000000001</v>
      </c>
    </row>
    <row r="286" spans="1:18">
      <c r="A286" s="3">
        <v>46176</v>
      </c>
      <c r="B286" t="s">
        <v>404</v>
      </c>
      <c r="C286" t="s">
        <v>72</v>
      </c>
      <c r="D286" t="s">
        <v>73</v>
      </c>
      <c r="E286" t="s">
        <v>32</v>
      </c>
      <c r="F286" t="s">
        <v>159</v>
      </c>
      <c r="G286" t="s">
        <v>16</v>
      </c>
      <c r="H286" t="s">
        <v>21</v>
      </c>
      <c r="I286" t="s">
        <v>135</v>
      </c>
      <c r="J286">
        <v>1</v>
      </c>
      <c r="K286" s="5">
        <v>2499</v>
      </c>
      <c r="L286" s="4">
        <v>0.02</v>
      </c>
      <c r="M286" t="s">
        <v>70</v>
      </c>
      <c r="N286">
        <v>2</v>
      </c>
      <c r="O286">
        <v>4.5</v>
      </c>
      <c r="P286" s="5">
        <f t="shared" si="12"/>
        <v>2499</v>
      </c>
      <c r="Q286" s="5">
        <f t="shared" si="13"/>
        <v>2449.02</v>
      </c>
      <c r="R286" s="5">
        <f t="shared" si="14"/>
        <v>661.23540000000003</v>
      </c>
    </row>
    <row r="287" spans="1:18">
      <c r="A287" s="3">
        <v>46385</v>
      </c>
      <c r="B287" t="s">
        <v>405</v>
      </c>
      <c r="C287" t="s">
        <v>18</v>
      </c>
      <c r="D287" t="s">
        <v>115</v>
      </c>
      <c r="E287" t="s">
        <v>14</v>
      </c>
      <c r="F287" t="s">
        <v>192</v>
      </c>
      <c r="G287" t="s">
        <v>28</v>
      </c>
      <c r="H287" t="s">
        <v>21</v>
      </c>
      <c r="I287" t="s">
        <v>135</v>
      </c>
      <c r="J287">
        <v>5</v>
      </c>
      <c r="K287" s="5">
        <v>2499</v>
      </c>
      <c r="L287" s="4">
        <v>0</v>
      </c>
      <c r="M287" t="s">
        <v>97</v>
      </c>
      <c r="N287">
        <v>1</v>
      </c>
      <c r="O287">
        <v>5</v>
      </c>
      <c r="P287" s="5">
        <f t="shared" si="12"/>
        <v>12495</v>
      </c>
      <c r="Q287" s="5">
        <f t="shared" si="13"/>
        <v>12495</v>
      </c>
      <c r="R287" s="5">
        <f t="shared" si="14"/>
        <v>2998.7999999999997</v>
      </c>
    </row>
    <row r="288" spans="1:18">
      <c r="A288" s="3">
        <v>46376</v>
      </c>
      <c r="B288" t="s">
        <v>406</v>
      </c>
      <c r="C288" t="s">
        <v>18</v>
      </c>
      <c r="D288" t="s">
        <v>115</v>
      </c>
      <c r="E288" t="s">
        <v>14</v>
      </c>
      <c r="F288" t="s">
        <v>139</v>
      </c>
      <c r="G288" t="s">
        <v>28</v>
      </c>
      <c r="H288" t="s">
        <v>15</v>
      </c>
      <c r="I288" t="s">
        <v>75</v>
      </c>
      <c r="J288">
        <v>2</v>
      </c>
      <c r="K288" s="5">
        <v>2999</v>
      </c>
      <c r="L288" s="4">
        <v>7.0000000000000007E-2</v>
      </c>
      <c r="M288" t="s">
        <v>81</v>
      </c>
      <c r="N288">
        <v>3</v>
      </c>
      <c r="O288">
        <v>5</v>
      </c>
      <c r="P288" s="5">
        <f t="shared" si="12"/>
        <v>5998</v>
      </c>
      <c r="Q288" s="5">
        <f t="shared" si="13"/>
        <v>5578.1399999999994</v>
      </c>
      <c r="R288" s="5">
        <f t="shared" si="14"/>
        <v>1366.6442999999999</v>
      </c>
    </row>
    <row r="289" spans="1:18">
      <c r="A289" s="3">
        <v>46086</v>
      </c>
      <c r="B289" t="s">
        <v>407</v>
      </c>
      <c r="C289" t="s">
        <v>47</v>
      </c>
      <c r="D289" t="s">
        <v>87</v>
      </c>
      <c r="E289" t="s">
        <v>20</v>
      </c>
      <c r="F289" t="s">
        <v>153</v>
      </c>
      <c r="G289" t="s">
        <v>28</v>
      </c>
      <c r="H289" t="s">
        <v>27</v>
      </c>
      <c r="I289" t="s">
        <v>135</v>
      </c>
      <c r="J289">
        <v>1</v>
      </c>
      <c r="K289" s="5">
        <v>1999</v>
      </c>
      <c r="L289" s="4">
        <v>0.05</v>
      </c>
      <c r="M289" t="s">
        <v>91</v>
      </c>
      <c r="N289">
        <v>3</v>
      </c>
      <c r="O289">
        <v>4</v>
      </c>
      <c r="P289" s="5">
        <f t="shared" si="12"/>
        <v>1999</v>
      </c>
      <c r="Q289" s="5">
        <f t="shared" si="13"/>
        <v>1899.05</v>
      </c>
      <c r="R289" s="5">
        <f t="shared" si="14"/>
        <v>474.76249999999999</v>
      </c>
    </row>
    <row r="290" spans="1:18">
      <c r="A290" s="3">
        <v>46148</v>
      </c>
      <c r="B290" t="s">
        <v>408</v>
      </c>
      <c r="C290" t="s">
        <v>78</v>
      </c>
      <c r="D290" t="s">
        <v>79</v>
      </c>
      <c r="E290" t="s">
        <v>14</v>
      </c>
      <c r="F290" t="s">
        <v>122</v>
      </c>
      <c r="G290" t="s">
        <v>16</v>
      </c>
      <c r="H290" t="s">
        <v>15</v>
      </c>
      <c r="I290" t="s">
        <v>109</v>
      </c>
      <c r="J290">
        <v>1</v>
      </c>
      <c r="K290" s="5">
        <v>3999</v>
      </c>
      <c r="L290" s="4">
        <v>0.1</v>
      </c>
      <c r="M290" t="s">
        <v>70</v>
      </c>
      <c r="N290">
        <v>3</v>
      </c>
      <c r="O290">
        <v>4</v>
      </c>
      <c r="P290" s="5">
        <f t="shared" si="12"/>
        <v>3999</v>
      </c>
      <c r="Q290" s="5">
        <f t="shared" si="13"/>
        <v>3599.1</v>
      </c>
      <c r="R290" s="5">
        <f t="shared" si="14"/>
        <v>917.77049999999997</v>
      </c>
    </row>
    <row r="291" spans="1:18">
      <c r="A291" s="3">
        <v>46346</v>
      </c>
      <c r="B291" t="s">
        <v>409</v>
      </c>
      <c r="C291" t="s">
        <v>131</v>
      </c>
      <c r="D291" t="s">
        <v>132</v>
      </c>
      <c r="E291" t="s">
        <v>14</v>
      </c>
      <c r="F291" t="s">
        <v>108</v>
      </c>
      <c r="G291" t="s">
        <v>28</v>
      </c>
      <c r="H291" t="s">
        <v>15</v>
      </c>
      <c r="I291" t="s">
        <v>96</v>
      </c>
      <c r="J291">
        <v>2</v>
      </c>
      <c r="K291" s="5">
        <v>1999</v>
      </c>
      <c r="L291" s="4">
        <v>0.05</v>
      </c>
      <c r="M291" t="s">
        <v>91</v>
      </c>
      <c r="N291">
        <v>6</v>
      </c>
      <c r="O291">
        <v>5</v>
      </c>
      <c r="P291" s="5">
        <f t="shared" si="12"/>
        <v>3998</v>
      </c>
      <c r="Q291" s="5">
        <f t="shared" si="13"/>
        <v>3798.1</v>
      </c>
      <c r="R291" s="5">
        <f t="shared" si="14"/>
        <v>987.50599999999997</v>
      </c>
    </row>
    <row r="292" spans="1:18">
      <c r="A292" s="3">
        <v>46083</v>
      </c>
      <c r="B292" t="s">
        <v>410</v>
      </c>
      <c r="C292" t="s">
        <v>34</v>
      </c>
      <c r="D292" t="s">
        <v>120</v>
      </c>
      <c r="E292" t="s">
        <v>20</v>
      </c>
      <c r="F292" t="s">
        <v>188</v>
      </c>
      <c r="G292" t="s">
        <v>22</v>
      </c>
      <c r="H292" t="s">
        <v>27</v>
      </c>
      <c r="I292" t="s">
        <v>135</v>
      </c>
      <c r="J292">
        <v>2</v>
      </c>
      <c r="K292" s="5">
        <v>2999</v>
      </c>
      <c r="L292" s="4">
        <v>0.15</v>
      </c>
      <c r="M292" t="s">
        <v>70</v>
      </c>
      <c r="N292">
        <v>4</v>
      </c>
      <c r="O292">
        <v>4.5</v>
      </c>
      <c r="P292" s="5">
        <f t="shared" si="12"/>
        <v>5998</v>
      </c>
      <c r="Q292" s="5">
        <f t="shared" si="13"/>
        <v>5098.3</v>
      </c>
      <c r="R292" s="5">
        <f t="shared" si="14"/>
        <v>1351.0495000000001</v>
      </c>
    </row>
    <row r="293" spans="1:18">
      <c r="A293" s="3">
        <v>46316</v>
      </c>
      <c r="B293" t="s">
        <v>411</v>
      </c>
      <c r="C293" t="s">
        <v>72</v>
      </c>
      <c r="D293" t="s">
        <v>73</v>
      </c>
      <c r="E293" t="s">
        <v>26</v>
      </c>
      <c r="F293" t="s">
        <v>100</v>
      </c>
      <c r="G293" t="s">
        <v>22</v>
      </c>
      <c r="H293" t="s">
        <v>21</v>
      </c>
      <c r="I293" t="s">
        <v>109</v>
      </c>
      <c r="J293">
        <v>2</v>
      </c>
      <c r="K293" s="5">
        <v>5999</v>
      </c>
      <c r="L293" s="4">
        <v>0.05</v>
      </c>
      <c r="M293" t="s">
        <v>123</v>
      </c>
      <c r="N293">
        <v>2</v>
      </c>
      <c r="O293">
        <v>3.5</v>
      </c>
      <c r="P293" s="5">
        <f t="shared" si="12"/>
        <v>11998</v>
      </c>
      <c r="Q293" s="5">
        <f t="shared" si="13"/>
        <v>11398.1</v>
      </c>
      <c r="R293" s="5">
        <f t="shared" si="14"/>
        <v>3077.4870000000001</v>
      </c>
    </row>
    <row r="294" spans="1:18">
      <c r="A294" s="3">
        <v>46262</v>
      </c>
      <c r="B294" t="s">
        <v>412</v>
      </c>
      <c r="C294" t="s">
        <v>30</v>
      </c>
      <c r="D294" t="s">
        <v>144</v>
      </c>
      <c r="E294" t="s">
        <v>26</v>
      </c>
      <c r="F294" t="s">
        <v>84</v>
      </c>
      <c r="G294" t="s">
        <v>28</v>
      </c>
      <c r="H294" t="s">
        <v>15</v>
      </c>
      <c r="I294" t="s">
        <v>69</v>
      </c>
      <c r="J294">
        <v>1</v>
      </c>
      <c r="K294" s="5">
        <v>4499</v>
      </c>
      <c r="L294" s="4">
        <v>0.05</v>
      </c>
      <c r="M294" t="s">
        <v>91</v>
      </c>
      <c r="N294">
        <v>1</v>
      </c>
      <c r="O294">
        <v>5</v>
      </c>
      <c r="P294" s="5">
        <f t="shared" si="12"/>
        <v>4499</v>
      </c>
      <c r="Q294" s="5">
        <f t="shared" si="13"/>
        <v>4274.05</v>
      </c>
      <c r="R294" s="5">
        <f t="shared" si="14"/>
        <v>1025.7719999999999</v>
      </c>
    </row>
    <row r="295" spans="1:18">
      <c r="A295" s="3">
        <v>46149</v>
      </c>
      <c r="B295" t="s">
        <v>413</v>
      </c>
      <c r="C295" t="s">
        <v>18</v>
      </c>
      <c r="D295" t="s">
        <v>115</v>
      </c>
      <c r="E295" t="s">
        <v>20</v>
      </c>
      <c r="F295" t="s">
        <v>188</v>
      </c>
      <c r="G295" t="s">
        <v>16</v>
      </c>
      <c r="H295" t="s">
        <v>21</v>
      </c>
      <c r="I295" t="s">
        <v>109</v>
      </c>
      <c r="J295">
        <v>1</v>
      </c>
      <c r="K295" s="5">
        <v>2999</v>
      </c>
      <c r="L295" s="4">
        <v>0.1</v>
      </c>
      <c r="M295" t="s">
        <v>76</v>
      </c>
      <c r="N295">
        <v>6</v>
      </c>
      <c r="O295">
        <v>3.5</v>
      </c>
      <c r="P295" s="5">
        <f t="shared" si="12"/>
        <v>2999</v>
      </c>
      <c r="Q295" s="5">
        <f t="shared" si="13"/>
        <v>2699.1</v>
      </c>
      <c r="R295" s="5">
        <f t="shared" si="14"/>
        <v>661.27949999999998</v>
      </c>
    </row>
    <row r="296" spans="1:18">
      <c r="A296" s="3">
        <v>46262</v>
      </c>
      <c r="B296" t="s">
        <v>414</v>
      </c>
      <c r="C296" t="s">
        <v>47</v>
      </c>
      <c r="D296" t="s">
        <v>87</v>
      </c>
      <c r="E296" t="s">
        <v>20</v>
      </c>
      <c r="F296" t="s">
        <v>111</v>
      </c>
      <c r="G296" t="s">
        <v>16</v>
      </c>
      <c r="H296" t="s">
        <v>21</v>
      </c>
      <c r="I296" t="s">
        <v>75</v>
      </c>
      <c r="J296">
        <v>1</v>
      </c>
      <c r="K296" s="5">
        <v>2799</v>
      </c>
      <c r="L296" s="4">
        <v>0.15</v>
      </c>
      <c r="M296" t="s">
        <v>85</v>
      </c>
      <c r="N296">
        <v>4</v>
      </c>
      <c r="O296">
        <v>4.5</v>
      </c>
      <c r="P296" s="5">
        <f t="shared" si="12"/>
        <v>2799</v>
      </c>
      <c r="Q296" s="5">
        <f t="shared" si="13"/>
        <v>2379.15</v>
      </c>
      <c r="R296" s="5">
        <f t="shared" si="14"/>
        <v>594.78750000000002</v>
      </c>
    </row>
    <row r="297" spans="1:18">
      <c r="A297" s="3">
        <v>46197</v>
      </c>
      <c r="B297" t="s">
        <v>415</v>
      </c>
      <c r="C297" t="s">
        <v>72</v>
      </c>
      <c r="D297" t="s">
        <v>73</v>
      </c>
      <c r="E297" t="s">
        <v>32</v>
      </c>
      <c r="F297" t="s">
        <v>125</v>
      </c>
      <c r="G297" t="s">
        <v>16</v>
      </c>
      <c r="H297" t="s">
        <v>15</v>
      </c>
      <c r="I297" t="s">
        <v>109</v>
      </c>
      <c r="J297">
        <v>4</v>
      </c>
      <c r="K297" s="5">
        <v>1299</v>
      </c>
      <c r="L297" s="4">
        <v>0.12</v>
      </c>
      <c r="M297" t="s">
        <v>85</v>
      </c>
      <c r="N297">
        <v>6</v>
      </c>
      <c r="O297">
        <v>3</v>
      </c>
      <c r="P297" s="5">
        <f t="shared" si="12"/>
        <v>5196</v>
      </c>
      <c r="Q297" s="5">
        <f t="shared" si="13"/>
        <v>4572.4800000000005</v>
      </c>
      <c r="R297" s="5">
        <f t="shared" si="14"/>
        <v>1165.9824000000001</v>
      </c>
    </row>
    <row r="298" spans="1:18">
      <c r="A298" s="3">
        <v>46194</v>
      </c>
      <c r="B298" t="s">
        <v>416</v>
      </c>
      <c r="C298" t="s">
        <v>24</v>
      </c>
      <c r="D298" t="s">
        <v>105</v>
      </c>
      <c r="E298" t="s">
        <v>20</v>
      </c>
      <c r="F298" t="s">
        <v>153</v>
      </c>
      <c r="G298" t="s">
        <v>28</v>
      </c>
      <c r="H298" t="s">
        <v>15</v>
      </c>
      <c r="I298" t="s">
        <v>69</v>
      </c>
      <c r="J298">
        <v>3</v>
      </c>
      <c r="K298" s="5">
        <v>1999</v>
      </c>
      <c r="L298" s="4">
        <v>0.1</v>
      </c>
      <c r="M298" t="s">
        <v>117</v>
      </c>
      <c r="N298">
        <v>6</v>
      </c>
      <c r="O298">
        <v>4.5</v>
      </c>
      <c r="P298" s="5">
        <f t="shared" si="12"/>
        <v>5997</v>
      </c>
      <c r="Q298" s="5">
        <f t="shared" si="13"/>
        <v>5397.3</v>
      </c>
      <c r="R298" s="5">
        <f t="shared" si="14"/>
        <v>1403.298</v>
      </c>
    </row>
    <row r="299" spans="1:18">
      <c r="A299" s="3">
        <v>46341</v>
      </c>
      <c r="B299" t="s">
        <v>417</v>
      </c>
      <c r="C299" t="s">
        <v>18</v>
      </c>
      <c r="D299" t="s">
        <v>115</v>
      </c>
      <c r="E299" t="s">
        <v>20</v>
      </c>
      <c r="F299" t="s">
        <v>106</v>
      </c>
      <c r="G299" t="s">
        <v>22</v>
      </c>
      <c r="H299" t="s">
        <v>21</v>
      </c>
      <c r="I299" t="s">
        <v>96</v>
      </c>
      <c r="J299">
        <v>3</v>
      </c>
      <c r="K299" s="5">
        <v>1799</v>
      </c>
      <c r="L299" s="4">
        <v>0.05</v>
      </c>
      <c r="M299" t="s">
        <v>123</v>
      </c>
      <c r="N299">
        <v>4</v>
      </c>
      <c r="O299">
        <v>4.5</v>
      </c>
      <c r="P299" s="5">
        <f t="shared" si="12"/>
        <v>5397</v>
      </c>
      <c r="Q299" s="5">
        <f t="shared" si="13"/>
        <v>5127.1499999999996</v>
      </c>
      <c r="R299" s="5">
        <f t="shared" si="14"/>
        <v>1358.6947499999999</v>
      </c>
    </row>
    <row r="300" spans="1:18">
      <c r="A300" s="3">
        <v>46195</v>
      </c>
      <c r="B300" t="s">
        <v>418</v>
      </c>
      <c r="C300" t="s">
        <v>93</v>
      </c>
      <c r="D300" t="s">
        <v>94</v>
      </c>
      <c r="E300" t="s">
        <v>32</v>
      </c>
      <c r="F300" t="s">
        <v>74</v>
      </c>
      <c r="G300" t="s">
        <v>22</v>
      </c>
      <c r="H300" t="s">
        <v>15</v>
      </c>
      <c r="I300" t="s">
        <v>96</v>
      </c>
      <c r="J300">
        <v>1</v>
      </c>
      <c r="K300" s="5">
        <v>1899</v>
      </c>
      <c r="L300" s="4">
        <v>0</v>
      </c>
      <c r="M300" t="s">
        <v>81</v>
      </c>
      <c r="N300">
        <v>3</v>
      </c>
      <c r="O300">
        <v>4</v>
      </c>
      <c r="P300" s="5">
        <f t="shared" si="12"/>
        <v>1899</v>
      </c>
      <c r="Q300" s="5">
        <f t="shared" si="13"/>
        <v>1899</v>
      </c>
      <c r="R300" s="5">
        <f t="shared" si="14"/>
        <v>512.73</v>
      </c>
    </row>
    <row r="301" spans="1:18">
      <c r="A301" s="3">
        <v>46196</v>
      </c>
      <c r="B301" t="s">
        <v>419</v>
      </c>
      <c r="C301" t="s">
        <v>18</v>
      </c>
      <c r="D301" t="s">
        <v>115</v>
      </c>
      <c r="E301" t="s">
        <v>26</v>
      </c>
      <c r="F301" t="s">
        <v>80</v>
      </c>
      <c r="G301" t="s">
        <v>28</v>
      </c>
      <c r="H301" t="s">
        <v>21</v>
      </c>
      <c r="I301" t="s">
        <v>75</v>
      </c>
      <c r="J301">
        <v>1</v>
      </c>
      <c r="K301" s="5">
        <v>1499</v>
      </c>
      <c r="L301" s="4">
        <v>0</v>
      </c>
      <c r="M301" t="s">
        <v>97</v>
      </c>
      <c r="N301">
        <v>2</v>
      </c>
      <c r="O301">
        <v>4.5</v>
      </c>
      <c r="P301" s="5">
        <f t="shared" si="12"/>
        <v>1499</v>
      </c>
      <c r="Q301" s="5">
        <f t="shared" si="13"/>
        <v>1499</v>
      </c>
      <c r="R301" s="5">
        <f t="shared" si="14"/>
        <v>359.76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Dashboard</vt:lpstr>
      <vt:lpstr>Analysis</vt:lpstr>
      <vt:lpstr>Data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AZEEM</cp:lastModifiedBy>
  <dcterms:modified xsi:type="dcterms:W3CDTF">2026-09-15T09:20:29Z</dcterms:modified>
</cp:coreProperties>
</file>