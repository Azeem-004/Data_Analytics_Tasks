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77b9bdfd6547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-Commerce Data" sheetId="1" r:id="R76c9fade28054c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#,##0"/>
    <x:numFmt numFmtId="202" formatCode="0%"/>
    <x:numFmt numFmtId="203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fda61239bd49bd" /><Relationship Type="http://schemas.openxmlformats.org/officeDocument/2006/relationships/theme" Target="/xl/theme/theme1.xml" Id="R2087d624c02b4b3c" /><Relationship Type="http://schemas.openxmlformats.org/officeDocument/2006/relationships/sharedStrings" Target="/xl/sharedStrings.xml" Id="R46bb56c08cb44a43" /><Relationship Type="http://schemas.openxmlformats.org/officeDocument/2006/relationships/worksheet" Target="/xl/worksheets/sheet1.xml" Id="R76c9fade28054ca5" /></Relationships>
</file>

<file path=xl/tables/table1.xml><?xml version="1.0" encoding="utf-8"?>
<x:table xmlns:x="http://schemas.openxmlformats.org/spreadsheetml/2006/main" id="1" name="ECommerce2026" displayName="ECommerce2026" ref="A1:R301" headerRowCount="1" totalsRowCount="0" totalsRowShown="0">
  <x:tableColumns count="18">
    <x:tableColumn id="1" name="Order Date"/>
    <x:tableColumn id="2" name="Order ID"/>
    <x:tableColumn id="3" name="State"/>
    <x:tableColumn id="4" name="City"/>
    <x:tableColumn id="5" name="Category"/>
    <x:tableColumn id="6" name="Product"/>
    <x:tableColumn id="7" name="Segment"/>
    <x:tableColumn id="8" name="Channel"/>
    <x:tableColumn id="9" name="Payment"/>
    <x:tableColumn id="10" name="Units"/>
    <x:tableColumn id="11" name="Unit Price (INR)"/>
    <x:tableColumn id="12" name="Discount %"/>
    <x:tableColumn id="13" name="Sales Rep"/>
    <x:tableColumn id="14" name="Delivery Days"/>
    <x:tableColumn id="15" name="Rating"/>
    <x:tableColumn id="16" name="Gross Sales (INR)"/>
    <x:tableColumn id="17" name="Revenue (INR)"/>
    <x:tableColumn id="18" name="Profit (INR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2bac6060ee424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5" hidden="0" customWidth="1"/>
    <x:col min="6" max="6" width="18" hidden="0" customWidth="1"/>
    <x:col min="7" max="7" width="18" hidden="0" customWidth="1"/>
    <x:col min="8" max="8" width="16" hidden="0" customWidth="1"/>
    <x:col min="9" max="9" width="16" hidden="0" customWidth="1"/>
    <x:col min="10" max="10" width="14" hidden="0" customWidth="1"/>
    <x:col min="11" max="11" width="14" hidden="0" customWidth="1"/>
    <x:col min="12" max="12" width="14" hidden="0" customWidth="1"/>
    <x:col min="13" max="13" width="18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A1" s="6" t="str">
        <x:v>Order Date</x:v>
      </x:c>
      <x:c r="B1" s="6" t="str">
        <x:v>Order ID</x:v>
      </x:c>
      <x:c r="C1" s="6" t="str">
        <x:v>State</x:v>
      </x:c>
      <x:c r="D1" s="6" t="str">
        <x:v>City</x:v>
      </x:c>
      <x:c r="E1" s="6" t="str">
        <x:v>Category</x:v>
      </x:c>
      <x:c r="F1" s="6" t="str">
        <x:v>Product</x:v>
      </x:c>
      <x:c r="G1" s="6" t="str">
        <x:v>Segment</x:v>
      </x:c>
      <x:c r="H1" s="6" t="str">
        <x:v>Channel</x:v>
      </x:c>
      <x:c r="I1" s="6" t="str">
        <x:v>Payment</x:v>
      </x:c>
      <x:c r="J1" s="6" t="str">
        <x:v>Units</x:v>
      </x:c>
      <x:c r="K1" s="6" t="str">
        <x:v>Unit Price (INR)</x:v>
      </x:c>
      <x:c r="L1" s="6" t="str">
        <x:v>Discount %</x:v>
      </x:c>
      <x:c r="M1" s="6" t="str">
        <x:v>Sales Rep</x:v>
      </x:c>
      <x:c r="N1" s="6" t="str">
        <x:v>Delivery Days</x:v>
      </x:c>
      <x:c r="O1" s="6" t="str">
        <x:v>Rating</x:v>
      </x:c>
      <x:c r="P1" s="6" t="str">
        <x:v>Gross Sales (INR)</x:v>
      </x:c>
      <x:c r="Q1" s="6" t="str">
        <x:v>Revenue (INR)</x:v>
      </x:c>
      <x:c r="R1" s="6" t="str">
        <x:v>Profit (INR)</x:v>
      </x:c>
    </x:row>
    <x:row r="2">
      <x:c r="A2" s="12" t="n">
        <x:v>46083</x:v>
      </x:c>
      <x:c r="B2" t="str">
        <x:v>EC26-0001</x:v>
      </x:c>
      <x:c r="C2" t="str">
        <x:v>Uttar Pradesh</x:v>
      </x:c>
      <x:c r="D2" t="str">
        <x:v>Lucknow</x:v>
      </x:c>
      <x:c r="E2" t="str">
        <x:v>Grocery</x:v>
      </x:c>
      <x:c r="F2" t="str">
        <x:v>Healthy Snacks</x:v>
      </x:c>
      <x:c r="G2" t="str">
        <x:v>Consumer</x:v>
      </x:c>
      <x:c r="H2" t="str">
        <x:v>Marketplace</x:v>
      </x:c>
      <x:c r="I2" t="str">
        <x:v>Wallet</x:v>
      </x:c>
      <x:c r="J2" t="n">
        <x:v>2</x:v>
      </x:c>
      <x:c r="K2" s="14" t="n">
        <x:v>599</x:v>
      </x:c>
      <x:c r="L2" s="16" t="n">
        <x:v>0</x:v>
      </x:c>
      <x:c r="M2" t="str">
        <x:v>Vihaan</x:v>
      </x:c>
      <x:c r="N2" t="n">
        <x:v>5</x:v>
      </x:c>
      <x:c r="O2" s="18" t="n">
        <x:v>4.5</x:v>
      </x:c>
      <x:c r="P2" s="14" t="n">
        <x:f>J2*K2</x:f>
        <x:v>1198</x:v>
      </x:c>
      <x:c r="Q2" s="14" t="n">
        <x:f>P2*(1-L2)</x:f>
        <x:v>1198</x:v>
      </x:c>
      <x:c r="R2" s="14" t="n">
        <x:f>Q2*(0.24+MOD(ROW(),7)*0.005)</x:f>
        <x:v>299.5</x:v>
      </x:c>
    </x:row>
    <x:row r="3">
      <x:c r="A3" s="12" t="n">
        <x:v>46274</x:v>
      </x:c>
      <x:c r="B3" t="str">
        <x:v>EC26-0002</x:v>
      </x:c>
      <x:c r="C3" t="str">
        <x:v>Kerala</x:v>
      </x:c>
      <x:c r="D3" t="str">
        <x:v>Kochi</x:v>
      </x:c>
      <x:c r="E3" t="str">
        <x:v>Beauty</x:v>
      </x:c>
      <x:c r="F3" t="str">
        <x:v>Hair Dryer</x:v>
      </x:c>
      <x:c r="G3" t="str">
        <x:v>Consumer</x:v>
      </x:c>
      <x:c r="H3" t="str">
        <x:v>Mobile App</x:v>
      </x:c>
      <x:c r="I3" t="str">
        <x:v>UPI</x:v>
      </x:c>
      <x:c r="J3" t="n">
        <x:v>1</x:v>
      </x:c>
      <x:c r="K3" s="14" t="n">
        <x:v>1899</x:v>
      </x:c>
      <x:c r="L3" s="16" t="n">
        <x:v>0</x:v>
      </x:c>
      <x:c r="M3" t="str">
        <x:v>Anaya</x:v>
      </x:c>
      <x:c r="N3" t="n">
        <x:v>1</x:v>
      </x:c>
      <x:c r="O3" s="18" t="n">
        <x:v>5</x:v>
      </x:c>
      <x:c r="P3" s="14" t="n">
        <x:f>J3*K3</x:f>
        <x:v>1899</x:v>
      </x:c>
      <x:c r="Q3" s="14" t="n">
        <x:f>P3*(1-L3)</x:f>
        <x:v>1899</x:v>
      </x:c>
      <x:c r="R3" s="14" t="n">
        <x:f>Q3*(0.24+MOD(ROW(),7)*0.005)</x:f>
        <x:v>484.245</x:v>
      </x:c>
    </x:row>
    <x:row r="4">
      <x:c r="A4" s="12" t="n">
        <x:v>46274</x:v>
      </x:c>
      <x:c r="B4" t="str">
        <x:v>EC26-0003</x:v>
      </x:c>
      <x:c r="C4" t="str">
        <x:v>Madhya Pradesh</x:v>
      </x:c>
      <x:c r="D4" t="str">
        <x:v>Indore</x:v>
      </x:c>
      <x:c r="E4" t="str">
        <x:v>Home</x:v>
      </x:c>
      <x:c r="F4" t="str">
        <x:v>Bedsheet Set</x:v>
      </x:c>
      <x:c r="G4" t="str">
        <x:v>Corporate</x:v>
      </x:c>
      <x:c r="H4" t="str">
        <x:v>Mobile App</x:v>
      </x:c>
      <x:c r="I4" t="str">
        <x:v>Wallet</x:v>
      </x:c>
      <x:c r="J4" t="n">
        <x:v>1</x:v>
      </x:c>
      <x:c r="K4" s="14" t="n">
        <x:v>1499</x:v>
      </x:c>
      <x:c r="L4" s="16" t="n">
        <x:v>0.05</x:v>
      </x:c>
      <x:c r="M4" t="str">
        <x:v>Ishita</x:v>
      </x:c>
      <x:c r="N4" t="n">
        <x:v>4</x:v>
      </x:c>
      <x:c r="O4" s="18" t="n">
        <x:v>3.5</x:v>
      </x:c>
      <x:c r="P4" s="14" t="n">
        <x:f>J4*K4</x:f>
        <x:v>1499</x:v>
      </x:c>
      <x:c r="Q4" s="14" t="n">
        <x:f>P4*(1-L4)</x:f>
        <x:v>1424.05</x:v>
      </x:c>
      <x:c r="R4" s="14" t="n">
        <x:f>Q4*(0.24+MOD(ROW(),7)*0.005)</x:f>
        <x:v>370.253</x:v>
      </x:c>
    </x:row>
    <x:row r="5">
      <x:c r="A5" s="12" t="n">
        <x:v>46298</x:v>
      </x:c>
      <x:c r="B5" t="str">
        <x:v>EC26-0004</x:v>
      </x:c>
      <x:c r="C5" t="str">
        <x:v>Telangana</x:v>
      </x:c>
      <x:c r="D5" t="str">
        <x:v>Hyderabad</x:v>
      </x:c>
      <x:c r="E5" t="str">
        <x:v>Home</x:v>
      </x:c>
      <x:c r="F5" t="str">
        <x:v>Coffee Maker</x:v>
      </x:c>
      <x:c r="G5" t="str">
        <x:v>Small Business</x:v>
      </x:c>
      <x:c r="H5" t="str">
        <x:v>Marketplace</x:v>
      </x:c>
      <x:c r="I5" t="str">
        <x:v>Wallet</x:v>
      </x:c>
      <x:c r="J5" t="n">
        <x:v>1</x:v>
      </x:c>
      <x:c r="K5" s="14" t="n">
        <x:v>4499</x:v>
      </x:c>
      <x:c r="L5" s="16" t="n">
        <x:v>0.12</x:v>
      </x:c>
      <x:c r="M5" t="str">
        <x:v>Rohan</x:v>
      </x:c>
      <x:c r="N5" t="n">
        <x:v>1</x:v>
      </x:c>
      <x:c r="O5" s="18" t="n">
        <x:v>4.5</x:v>
      </x:c>
      <x:c r="P5" s="14" t="n">
        <x:f>J5*K5</x:f>
        <x:v>4499</x:v>
      </x:c>
      <x:c r="Q5" s="14" t="n">
        <x:f>P5*(1-L5)</x:f>
        <x:v>3959.12</x:v>
      </x:c>
      <x:c r="R5" s="14" t="n">
        <x:f>Q5*(0.24+MOD(ROW(),7)*0.005)</x:f>
        <x:v>1049.1668</x:v>
      </x:c>
    </x:row>
    <x:row r="6">
      <x:c r="A6" s="12" t="n">
        <x:v>46209</x:v>
      </x:c>
      <x:c r="B6" t="str">
        <x:v>EC26-0005</x:v>
      </x:c>
      <x:c r="C6" t="str">
        <x:v>West Bengal</x:v>
      </x:c>
      <x:c r="D6" t="str">
        <x:v>Kolkata</x:v>
      </x:c>
      <x:c r="E6" t="str">
        <x:v>Beauty</x:v>
      </x:c>
      <x:c r="F6" t="str">
        <x:v>Face Serum</x:v>
      </x:c>
      <x:c r="G6" t="str">
        <x:v>Small Business</x:v>
      </x:c>
      <x:c r="H6" t="str">
        <x:v>Mobile App</x:v>
      </x:c>
      <x:c r="I6" t="str">
        <x:v>UPI</x:v>
      </x:c>
      <x:c r="J6" t="n">
        <x:v>1</x:v>
      </x:c>
      <x:c r="K6" s="14" t="n">
        <x:v>799</x:v>
      </x:c>
      <x:c r="L6" s="16" t="n">
        <x:v>0.1</x:v>
      </x:c>
      <x:c r="M6" t="str">
        <x:v>Vihaan</x:v>
      </x:c>
      <x:c r="N6" t="n">
        <x:v>3</x:v>
      </x:c>
      <x:c r="O6" s="18" t="n">
        <x:v>5</x:v>
      </x:c>
      <x:c r="P6" s="14" t="n">
        <x:f>J6*K6</x:f>
        <x:v>799</x:v>
      </x:c>
      <x:c r="Q6" s="14" t="n">
        <x:f>P6*(1-L6)</x:f>
        <x:v>719.1</x:v>
      </x:c>
      <x:c r="R6" s="14" t="n">
        <x:f>Q6*(0.24+MOD(ROW(),7)*0.005)</x:f>
        <x:v>194.157</x:v>
      </x:c>
    </x:row>
    <x:row r="7">
      <x:c r="A7" s="12" t="n">
        <x:v>46330</x:v>
      </x:c>
      <x:c r="B7" t="str">
        <x:v>EC26-0006</x:v>
      </x:c>
      <x:c r="C7" t="str">
        <x:v>West Bengal</x:v>
      </x:c>
      <x:c r="D7" t="str">
        <x:v>Kolkata</x:v>
      </x:c>
      <x:c r="E7" t="str">
        <x:v>Beauty</x:v>
      </x:c>
      <x:c r="F7" t="str">
        <x:v>Makeup Set</x:v>
      </x:c>
      <x:c r="G7" t="str">
        <x:v>Small Business</x:v>
      </x:c>
      <x:c r="H7" t="str">
        <x:v>Mobile App</x:v>
      </x:c>
      <x:c r="I7" t="str">
        <x:v>Wallet</x:v>
      </x:c>
      <x:c r="J7" t="n">
        <x:v>1</x:v>
      </x:c>
      <x:c r="K7" s="14" t="n">
        <x:v>1599</x:v>
      </x:c>
      <x:c r="L7" s="16" t="n">
        <x:v>0.07</x:v>
      </x:c>
      <x:c r="M7" t="str">
        <x:v>Aarav</x:v>
      </x:c>
      <x:c r="N7" t="n">
        <x:v>4</x:v>
      </x:c>
      <x:c r="O7" s="18" t="n">
        <x:v>5</x:v>
      </x:c>
      <x:c r="P7" s="14" t="n">
        <x:f>J7*K7</x:f>
        <x:v>1599</x:v>
      </x:c>
      <x:c r="Q7" s="14" t="n">
        <x:f>P7*(1-L7)</x:f>
        <x:v>1487.07</x:v>
      </x:c>
      <x:c r="R7" s="14" t="n">
        <x:f>Q7*(0.24+MOD(ROW(),7)*0.005)</x:f>
        <x:v>356.8968</x:v>
      </x:c>
    </x:row>
    <x:row r="8">
      <x:c r="A8" s="12" t="n">
        <x:v>46048</x:v>
      </x:c>
      <x:c r="B8" t="str">
        <x:v>EC26-0007</x:v>
      </x:c>
      <x:c r="C8" t="str">
        <x:v>Punjab</x:v>
      </x:c>
      <x:c r="D8" t="str">
        <x:v>Ludhiana</x:v>
      </x:c>
      <x:c r="E8" t="str">
        <x:v>Grocery</x:v>
      </x:c>
      <x:c r="F8" t="str">
        <x:v>Dry Fruits Pack</x:v>
      </x:c>
      <x:c r="G8" t="str">
        <x:v>Corporate</x:v>
      </x:c>
      <x:c r="H8" t="str">
        <x:v>Website</x:v>
      </x:c>
      <x:c r="I8" t="str">
        <x:v>COD</x:v>
      </x:c>
      <x:c r="J8" t="n">
        <x:v>2</x:v>
      </x:c>
      <x:c r="K8" s="14" t="n">
        <x:v>999</x:v>
      </x:c>
      <x:c r="L8" s="16" t="n">
        <x:v>0.07</x:v>
      </x:c>
      <x:c r="M8" t="str">
        <x:v>Meera</x:v>
      </x:c>
      <x:c r="N8" t="n">
        <x:v>5</x:v>
      </x:c>
      <x:c r="O8" s="18" t="n">
        <x:v>3.5</x:v>
      </x:c>
      <x:c r="P8" s="14" t="n">
        <x:f>J8*K8</x:f>
        <x:v>1998</x:v>
      </x:c>
      <x:c r="Q8" s="14" t="n">
        <x:f>P8*(1-L8)</x:f>
        <x:v>1858.1399999999999</x:v>
      </x:c>
      <x:c r="R8" s="14" t="n">
        <x:f>Q8*(0.24+MOD(ROW(),7)*0.005)</x:f>
        <x:v>455.24429999999995</x:v>
      </x:c>
    </x:row>
    <x:row r="9">
      <x:c r="A9" s="12" t="n">
        <x:v>46381</x:v>
      </x:c>
      <x:c r="B9" t="str">
        <x:v>EC26-0008</x:v>
      </x:c>
      <x:c r="C9" t="str">
        <x:v>West Bengal</x:v>
      </x:c>
      <x:c r="D9" t="str">
        <x:v>Kolkata</x:v>
      </x:c>
      <x:c r="E9" t="str">
        <x:v>Beauty</x:v>
      </x:c>
      <x:c r="F9" t="str">
        <x:v>Makeup Set</x:v>
      </x:c>
      <x:c r="G9" t="str">
        <x:v>Small Business</x:v>
      </x:c>
      <x:c r="H9" t="str">
        <x:v>Mobile App</x:v>
      </x:c>
      <x:c r="I9" t="str">
        <x:v>Wallet</x:v>
      </x:c>
      <x:c r="J9" t="n">
        <x:v>1</x:v>
      </x:c>
      <x:c r="K9" s="14" t="n">
        <x:v>1599</x:v>
      </x:c>
      <x:c r="L9" s="16" t="n">
        <x:v>0.07</x:v>
      </x:c>
      <x:c r="M9" t="str">
        <x:v>Anaya</x:v>
      </x:c>
      <x:c r="N9" t="n">
        <x:v>5</x:v>
      </x:c>
      <x:c r="O9" s="18" t="n">
        <x:v>4</x:v>
      </x:c>
      <x:c r="P9" s="14" t="n">
        <x:f>J9*K9</x:f>
        <x:v>1599</x:v>
      </x:c>
      <x:c r="Q9" s="14" t="n">
        <x:f>P9*(1-L9)</x:f>
        <x:v>1487.07</x:v>
      </x:c>
      <x:c r="R9" s="14" t="n">
        <x:f>Q9*(0.24+MOD(ROW(),7)*0.005)</x:f>
        <x:v>371.7675</x:v>
      </x:c>
    </x:row>
    <x:row r="10">
      <x:c r="A10" s="12" t="n">
        <x:v>46126</x:v>
      </x:c>
      <x:c r="B10" t="str">
        <x:v>EC26-0009</x:v>
      </x:c>
      <x:c r="C10" t="str">
        <x:v>Telangana</x:v>
      </x:c>
      <x:c r="D10" t="str">
        <x:v>Hyderabad</x:v>
      </x:c>
      <x:c r="E10" t="str">
        <x:v>Home</x:v>
      </x:c>
      <x:c r="F10" t="str">
        <x:v>Air Fryer</x:v>
      </x:c>
      <x:c r="G10" t="str">
        <x:v>Small Business</x:v>
      </x:c>
      <x:c r="H10" t="str">
        <x:v>Mobile App</x:v>
      </x:c>
      <x:c r="I10" t="str">
        <x:v>Wallet</x:v>
      </x:c>
      <x:c r="J10" t="n">
        <x:v>1</x:v>
      </x:c>
      <x:c r="K10" s="14" t="n">
        <x:v>5999</x:v>
      </x:c>
      <x:c r="L10" s="16" t="n">
        <x:v>0.12</x:v>
      </x:c>
      <x:c r="M10" t="str">
        <x:v>Anaya</x:v>
      </x:c>
      <x:c r="N10" t="n">
        <x:v>3</x:v>
      </x:c>
      <x:c r="O10" s="18" t="n">
        <x:v>4</x:v>
      </x:c>
      <x:c r="P10" s="14" t="n">
        <x:f>J10*K10</x:f>
        <x:v>5999</x:v>
      </x:c>
      <x:c r="Q10" s="14" t="n">
        <x:f>P10*(1-L10)</x:f>
        <x:v>5279.12</x:v>
      </x:c>
      <x:c r="R10" s="14" t="n">
        <x:f>Q10*(0.24+MOD(ROW(),7)*0.005)</x:f>
        <x:v>1346.1756</x:v>
      </x:c>
    </x:row>
    <x:row r="11">
      <x:c r="A11" s="12" t="n">
        <x:v>46377</x:v>
      </x:c>
      <x:c r="B11" t="str">
        <x:v>EC26-0010</x:v>
      </x:c>
      <x:c r="C11" t="str">
        <x:v>West Bengal</x:v>
      </x:c>
      <x:c r="D11" t="str">
        <x:v>Kolkata</x:v>
      </x:c>
      <x:c r="E11" t="str">
        <x:v>Beauty</x:v>
      </x:c>
      <x:c r="F11" t="str">
        <x:v>Makeup Set</x:v>
      </x:c>
      <x:c r="G11" t="str">
        <x:v>Corporate</x:v>
      </x:c>
      <x:c r="H11" t="str">
        <x:v>Marketplace</x:v>
      </x:c>
      <x:c r="I11" t="str">
        <x:v>UPI</x:v>
      </x:c>
      <x:c r="J11" t="n">
        <x:v>3</x:v>
      </x:c>
      <x:c r="K11" s="14" t="n">
        <x:v>1599</x:v>
      </x:c>
      <x:c r="L11" s="16" t="n">
        <x:v>0.07</x:v>
      </x:c>
      <x:c r="M11" t="str">
        <x:v>Rohan</x:v>
      </x:c>
      <x:c r="N11" t="n">
        <x:v>3</x:v>
      </x:c>
      <x:c r="O11" s="18" t="n">
        <x:v>5</x:v>
      </x:c>
      <x:c r="P11" s="14" t="n">
        <x:f>J11*K11</x:f>
        <x:v>4797</x:v>
      </x:c>
      <x:c r="Q11" s="14" t="n">
        <x:f>P11*(1-L11)</x:f>
        <x:v>4461.21</x:v>
      </x:c>
      <x:c r="R11" s="14" t="n">
        <x:f>Q11*(0.24+MOD(ROW(),7)*0.005)</x:f>
        <x:v>1159.9146</x:v>
      </x:c>
    </x:row>
    <x:row r="12">
      <x:c r="A12" s="12" t="n">
        <x:v>46073</x:v>
      </x:c>
      <x:c r="B12" t="str">
        <x:v>EC26-0011</x:v>
      </x:c>
      <x:c r="C12" t="str">
        <x:v>West Bengal</x:v>
      </x:c>
      <x:c r="D12" t="str">
        <x:v>Kolkata</x:v>
      </x:c>
      <x:c r="E12" t="str">
        <x:v>Grocery</x:v>
      </x:c>
      <x:c r="F12" t="str">
        <x:v>Green Tea</x:v>
      </x:c>
      <x:c r="G12" t="str">
        <x:v>Corporate</x:v>
      </x:c>
      <x:c r="H12" t="str">
        <x:v>Marketplace</x:v>
      </x:c>
      <x:c r="I12" t="str">
        <x:v>COD</x:v>
      </x:c>
      <x:c r="J12" t="n">
        <x:v>2</x:v>
      </x:c>
      <x:c r="K12" s="14" t="n">
        <x:v>499</x:v>
      </x:c>
      <x:c r="L12" s="16" t="n">
        <x:v>0.02</x:v>
      </x:c>
      <x:c r="M12" t="str">
        <x:v>Ishita</x:v>
      </x:c>
      <x:c r="N12" t="n">
        <x:v>4</x:v>
      </x:c>
      <x:c r="O12" s="18" t="n">
        <x:v>5</x:v>
      </x:c>
      <x:c r="P12" s="14" t="n">
        <x:f>J12*K12</x:f>
        <x:v>998</x:v>
      </x:c>
      <x:c r="Q12" s="14" t="n">
        <x:f>P12*(1-L12)</x:f>
        <x:v>978.04</x:v>
      </x:c>
      <x:c r="R12" s="14" t="n">
        <x:f>Q12*(0.24+MOD(ROW(),7)*0.005)</x:f>
        <x:v>259.1806</x:v>
      </x:c>
    </x:row>
    <x:row r="13">
      <x:c r="A13" s="12" t="n">
        <x:v>46212</x:v>
      </x:c>
      <x:c r="B13" t="str">
        <x:v>EC26-0012</x:v>
      </x:c>
      <x:c r="C13" t="str">
        <x:v>Karnataka</x:v>
      </x:c>
      <x:c r="D13" t="str">
        <x:v>Bengaluru</x:v>
      </x:c>
      <x:c r="E13" t="str">
        <x:v>Fashion</x:v>
      </x:c>
      <x:c r="F13" t="str">
        <x:v>Backpack</x:v>
      </x:c>
      <x:c r="G13" t="str">
        <x:v>Consumer</x:v>
      </x:c>
      <x:c r="H13" t="str">
        <x:v>Website</x:v>
      </x:c>
      <x:c r="I13" t="str">
        <x:v>COD</x:v>
      </x:c>
      <x:c r="J13" t="n">
        <x:v>1</x:v>
      </x:c>
      <x:c r="K13" s="14" t="n">
        <x:v>1799</x:v>
      </x:c>
      <x:c r="L13" s="16" t="n">
        <x:v>0</x:v>
      </x:c>
      <x:c r="M13" t="str">
        <x:v>Ishita</x:v>
      </x:c>
      <x:c r="N13" t="n">
        <x:v>4</x:v>
      </x:c>
      <x:c r="O13" s="18" t="n">
        <x:v>4</x:v>
      </x:c>
      <x:c r="P13" s="14" t="n">
        <x:f>J13*K13</x:f>
        <x:v>1799</x:v>
      </x:c>
      <x:c r="Q13" s="14" t="n">
        <x:f>P13*(1-L13)</x:f>
        <x:v>1799</x:v>
      </x:c>
      <x:c r="R13" s="14" t="n">
        <x:f>Q13*(0.24+MOD(ROW(),7)*0.005)</x:f>
        <x:v>485.73</x:v>
      </x:c>
    </x:row>
    <x:row r="14">
      <x:c r="A14" s="12" t="n">
        <x:v>46084</x:v>
      </x:c>
      <x:c r="B14" t="str">
        <x:v>EC26-0013</x:v>
      </x:c>
      <x:c r="C14" t="str">
        <x:v>Kerala</x:v>
      </x:c>
      <x:c r="D14" t="str">
        <x:v>Kochi</x:v>
      </x:c>
      <x:c r="E14" t="str">
        <x:v>Electronics</x:v>
      </x:c>
      <x:c r="F14" t="str">
        <x:v>USB-C Hub</x:v>
      </x:c>
      <x:c r="G14" t="str">
        <x:v>Small Business</x:v>
      </x:c>
      <x:c r="H14" t="str">
        <x:v>Mobile App</x:v>
      </x:c>
      <x:c r="I14" t="str">
        <x:v>Credit Card</x:v>
      </x:c>
      <x:c r="J14" t="n">
        <x:v>4</x:v>
      </x:c>
      <x:c r="K14" s="14" t="n">
        <x:v>1999</x:v>
      </x:c>
      <x:c r="L14" s="16" t="n">
        <x:v>0.12</x:v>
      </x:c>
      <x:c r="M14" t="str">
        <x:v>Aarav</x:v>
      </x:c>
      <x:c r="N14" t="n">
        <x:v>3</x:v>
      </x:c>
      <x:c r="O14" s="18" t="n">
        <x:v>4.5</x:v>
      </x:c>
      <x:c r="P14" s="14" t="n">
        <x:f>J14*K14</x:f>
        <x:v>7996</x:v>
      </x:c>
      <x:c r="Q14" s="14" t="n">
        <x:f>P14*(1-L14)</x:f>
        <x:v>7036.4800000000005</x:v>
      </x:c>
      <x:c r="R14" s="14" t="n">
        <x:f>Q14*(0.24+MOD(ROW(),7)*0.005)</x:f>
        <x:v>1688.7552</x:v>
      </x:c>
    </x:row>
    <x:row r="15">
      <x:c r="A15" s="12" t="n">
        <x:v>46274</x:v>
      </x:c>
      <x:c r="B15" t="str">
        <x:v>EC26-0014</x:v>
      </x:c>
      <x:c r="C15" t="str">
        <x:v>Punjab</x:v>
      </x:c>
      <x:c r="D15" t="str">
        <x:v>Ludhiana</x:v>
      </x:c>
      <x:c r="E15" t="str">
        <x:v>Fashion</x:v>
      </x:c>
      <x:c r="F15" t="str">
        <x:v>Sneakers</x:v>
      </x:c>
      <x:c r="G15" t="str">
        <x:v>Consumer</x:v>
      </x:c>
      <x:c r="H15" t="str">
        <x:v>Marketplace</x:v>
      </x:c>
      <x:c r="I15" t="str">
        <x:v>Wallet</x:v>
      </x:c>
      <x:c r="J15" t="n">
        <x:v>1</x:v>
      </x:c>
      <x:c r="K15" s="14" t="n">
        <x:v>2799</x:v>
      </x:c>
      <x:c r="L15" s="16" t="n">
        <x:v>0.1</x:v>
      </x:c>
      <x:c r="M15" t="str">
        <x:v>Rohan</x:v>
      </x:c>
      <x:c r="N15" t="n">
        <x:v>2</x:v>
      </x:c>
      <x:c r="O15" s="18" t="n">
        <x:v>4.5</x:v>
      </x:c>
      <x:c r="P15" s="14" t="n">
        <x:f>J15*K15</x:f>
        <x:v>2799</x:v>
      </x:c>
      <x:c r="Q15" s="14" t="n">
        <x:f>P15*(1-L15)</x:f>
        <x:v>2519.1</x:v>
      </x:c>
      <x:c r="R15" s="14" t="n">
        <x:f>Q15*(0.24+MOD(ROW(),7)*0.005)</x:f>
        <x:v>617.1795</x:v>
      </x:c>
    </x:row>
    <x:row r="16">
      <x:c r="A16" s="12" t="n">
        <x:v>46092</x:v>
      </x:c>
      <x:c r="B16" t="str">
        <x:v>EC26-0015</x:v>
      </x:c>
      <x:c r="C16" t="str">
        <x:v>Kerala</x:v>
      </x:c>
      <x:c r="D16" t="str">
        <x:v>Kochi</x:v>
      </x:c>
      <x:c r="E16" t="str">
        <x:v>Home</x:v>
      </x:c>
      <x:c r="F16" t="str">
        <x:v>Storage Rack</x:v>
      </x:c>
      <x:c r="G16" t="str">
        <x:v>Consumer</x:v>
      </x:c>
      <x:c r="H16" t="str">
        <x:v>Marketplace</x:v>
      </x:c>
      <x:c r="I16" t="str">
        <x:v>Credit Card</x:v>
      </x:c>
      <x:c r="J16" t="n">
        <x:v>1</x:v>
      </x:c>
      <x:c r="K16" s="14" t="n">
        <x:v>2299</x:v>
      </x:c>
      <x:c r="L16" s="16" t="n">
        <x:v>0.15</x:v>
      </x:c>
      <x:c r="M16" t="str">
        <x:v>Vihaan</x:v>
      </x:c>
      <x:c r="N16" t="n">
        <x:v>1</x:v>
      </x:c>
      <x:c r="O16" s="18" t="n">
        <x:v>3.5</x:v>
      </x:c>
      <x:c r="P16" s="14" t="n">
        <x:f>J16*K16</x:f>
        <x:v>2299</x:v>
      </x:c>
      <x:c r="Q16" s="14" t="n">
        <x:f>P16*(1-L16)</x:f>
        <x:v>1954.1499999999999</x:v>
      </x:c>
      <x:c r="R16" s="14" t="n">
        <x:f>Q16*(0.24+MOD(ROW(),7)*0.005)</x:f>
        <x:v>488.53749999999997</x:v>
      </x:c>
    </x:row>
    <x:row r="17">
      <x:c r="A17" s="12" t="n">
        <x:v>46060</x:v>
      </x:c>
      <x:c r="B17" t="str">
        <x:v>EC26-0016</x:v>
      </x:c>
      <x:c r="C17" t="str">
        <x:v>Maharashtra</x:v>
      </x:c>
      <x:c r="D17" t="str">
        <x:v>Mumbai</x:v>
      </x:c>
      <x:c r="E17" t="str">
        <x:v>Home</x:v>
      </x:c>
      <x:c r="F17" t="str">
        <x:v>LED Lamp</x:v>
      </x:c>
      <x:c r="G17" t="str">
        <x:v>Consumer</x:v>
      </x:c>
      <x:c r="H17" t="str">
        <x:v>Marketplace</x:v>
      </x:c>
      <x:c r="I17" t="str">
        <x:v>COD</x:v>
      </x:c>
      <x:c r="J17" t="n">
        <x:v>4</x:v>
      </x:c>
      <x:c r="K17" s="14" t="n">
        <x:v>899</x:v>
      </x:c>
      <x:c r="L17" s="16" t="n">
        <x:v>0</x:v>
      </x:c>
      <x:c r="M17" t="str">
        <x:v>Simran</x:v>
      </x:c>
      <x:c r="N17" t="n">
        <x:v>4</x:v>
      </x:c>
      <x:c r="O17" s="18" t="n">
        <x:v>4.5</x:v>
      </x:c>
      <x:c r="P17" s="14" t="n">
        <x:f>J17*K17</x:f>
        <x:v>3596</x:v>
      </x:c>
      <x:c r="Q17" s="14" t="n">
        <x:f>P17*(1-L17)</x:f>
        <x:v>3596</x:v>
      </x:c>
      <x:c r="R17" s="14" t="n">
        <x:f>Q17*(0.24+MOD(ROW(),7)*0.005)</x:f>
        <x:v>916.98</x:v>
      </x:c>
    </x:row>
    <x:row r="18">
      <x:c r="A18" s="12" t="n">
        <x:v>46085</x:v>
      </x:c>
      <x:c r="B18" t="str">
        <x:v>EC26-0017</x:v>
      </x:c>
      <x:c r="C18" t="str">
        <x:v>West Bengal</x:v>
      </x:c>
      <x:c r="D18" t="str">
        <x:v>Kolkata</x:v>
      </x:c>
      <x:c r="E18" t="str">
        <x:v>Beauty</x:v>
      </x:c>
      <x:c r="F18" t="str">
        <x:v>Makeup Set</x:v>
      </x:c>
      <x:c r="G18" t="str">
        <x:v>Consumer</x:v>
      </x:c>
      <x:c r="H18" t="str">
        <x:v>Marketplace</x:v>
      </x:c>
      <x:c r="I18" t="str">
        <x:v>Wallet</x:v>
      </x:c>
      <x:c r="J18" t="n">
        <x:v>2</x:v>
      </x:c>
      <x:c r="K18" s="14" t="n">
        <x:v>1599</x:v>
      </x:c>
      <x:c r="L18" s="16" t="n">
        <x:v>0.02</x:v>
      </x:c>
      <x:c r="M18" t="str">
        <x:v>Meera</x:v>
      </x:c>
      <x:c r="N18" t="n">
        <x:v>3</x:v>
      </x:c>
      <x:c r="O18" s="18" t="n">
        <x:v>4</x:v>
      </x:c>
      <x:c r="P18" s="14" t="n">
        <x:f>J18*K18</x:f>
        <x:v>3198</x:v>
      </x:c>
      <x:c r="Q18" s="14" t="n">
        <x:f>P18*(1-L18)</x:f>
        <x:v>3134.04</x:v>
      </x:c>
      <x:c r="R18" s="14" t="n">
        <x:f>Q18*(0.24+MOD(ROW(),7)*0.005)</x:f>
        <x:v>814.8504</x:v>
      </x:c>
    </x:row>
    <x:row r="19">
      <x:c r="A19" s="12" t="n">
        <x:v>46329</x:v>
      </x:c>
      <x:c r="B19" t="str">
        <x:v>EC26-0018</x:v>
      </x:c>
      <x:c r="C19" t="str">
        <x:v>Tamil Nadu</x:v>
      </x:c>
      <x:c r="D19" t="str">
        <x:v>Chennai</x:v>
      </x:c>
      <x:c r="E19" t="str">
        <x:v>Electronics</x:v>
      </x:c>
      <x:c r="F19" t="str">
        <x:v>USB-C Hub</x:v>
      </x:c>
      <x:c r="G19" t="str">
        <x:v>Small Business</x:v>
      </x:c>
      <x:c r="H19" t="str">
        <x:v>Website</x:v>
      </x:c>
      <x:c r="I19" t="str">
        <x:v>UPI</x:v>
      </x:c>
      <x:c r="J19" t="n">
        <x:v>1</x:v>
      </x:c>
      <x:c r="K19" s="14" t="n">
        <x:v>1999</x:v>
      </x:c>
      <x:c r="L19" s="16" t="n">
        <x:v>0.02</x:v>
      </x:c>
      <x:c r="M19" t="str">
        <x:v>Aarav</x:v>
      </x:c>
      <x:c r="N19" t="n">
        <x:v>3</x:v>
      </x:c>
      <x:c r="O19" s="18" t="n">
        <x:v>5</x:v>
      </x:c>
      <x:c r="P19" s="14" t="n">
        <x:f>J19*K19</x:f>
        <x:v>1999</x:v>
      </x:c>
      <x:c r="Q19" s="14" t="n">
        <x:f>P19*(1-L19)</x:f>
        <x:v>1959.02</x:v>
      </x:c>
      <x:c r="R19" s="14" t="n">
        <x:f>Q19*(0.24+MOD(ROW(),7)*0.005)</x:f>
        <x:v>519.1403</x:v>
      </x:c>
    </x:row>
    <x:row r="20">
      <x:c r="A20" s="12" t="n">
        <x:v>46119</x:v>
      </x:c>
      <x:c r="B20" t="str">
        <x:v>EC26-0019</x:v>
      </x:c>
      <x:c r="C20" t="str">
        <x:v>West Bengal</x:v>
      </x:c>
      <x:c r="D20" t="str">
        <x:v>Kolkata</x:v>
      </x:c>
      <x:c r="E20" t="str">
        <x:v>Electronics</x:v>
      </x:c>
      <x:c r="F20" t="str">
        <x:v>Smartwatch</x:v>
      </x:c>
      <x:c r="G20" t="str">
        <x:v>Small Business</x:v>
      </x:c>
      <x:c r="H20" t="str">
        <x:v>Website</x:v>
      </x:c>
      <x:c r="I20" t="str">
        <x:v>Credit Card</x:v>
      </x:c>
      <x:c r="J20" t="n">
        <x:v>2</x:v>
      </x:c>
      <x:c r="K20" s="14" t="n">
        <x:v>3999</x:v>
      </x:c>
      <x:c r="L20" s="16" t="n">
        <x:v>0.02</x:v>
      </x:c>
      <x:c r="M20" t="str">
        <x:v>Kabir</x:v>
      </x:c>
      <x:c r="N20" t="n">
        <x:v>3</x:v>
      </x:c>
      <x:c r="O20" s="18" t="n">
        <x:v>4.5</x:v>
      </x:c>
      <x:c r="P20" s="14" t="n">
        <x:f>J20*K20</x:f>
        <x:v>7998</x:v>
      </x:c>
      <x:c r="Q20" s="14" t="n">
        <x:f>P20*(1-L20)</x:f>
        <x:v>7838.04</x:v>
      </x:c>
      <x:c r="R20" s="14" t="n">
        <x:f>Q20*(0.24+MOD(ROW(),7)*0.005)</x:f>
        <x:v>2116.2708000000002</x:v>
      </x:c>
    </x:row>
    <x:row r="21">
      <x:c r="A21" s="12" t="n">
        <x:v>46235</x:v>
      </x:c>
      <x:c r="B21" t="str">
        <x:v>EC26-0020</x:v>
      </x:c>
      <x:c r="C21" t="str">
        <x:v>Karnataka</x:v>
      </x:c>
      <x:c r="D21" t="str">
        <x:v>Bengaluru</x:v>
      </x:c>
      <x:c r="E21" t="str">
        <x:v>Beauty</x:v>
      </x:c>
      <x:c r="F21" t="str">
        <x:v>Skincare Kit</x:v>
      </x:c>
      <x:c r="G21" t="str">
        <x:v>Corporate</x:v>
      </x:c>
      <x:c r="H21" t="str">
        <x:v>Mobile App</x:v>
      </x:c>
      <x:c r="I21" t="str">
        <x:v>COD</x:v>
      </x:c>
      <x:c r="J21" t="n">
        <x:v>1</x:v>
      </x:c>
      <x:c r="K21" s="14" t="n">
        <x:v>1299</x:v>
      </x:c>
      <x:c r="L21" s="16" t="n">
        <x:v>0.02</x:v>
      </x:c>
      <x:c r="M21" t="str">
        <x:v>Vihaan</x:v>
      </x:c>
      <x:c r="N21" t="n">
        <x:v>3</x:v>
      </x:c>
      <x:c r="O21" s="18" t="n">
        <x:v>4</x:v>
      </x:c>
      <x:c r="P21" s="14" t="n">
        <x:f>J21*K21</x:f>
        <x:v>1299</x:v>
      </x:c>
      <x:c r="Q21" s="14" t="n">
        <x:f>P21*(1-L21)</x:f>
        <x:v>1273.02</x:v>
      </x:c>
      <x:c r="R21" s="14" t="n">
        <x:f>Q21*(0.24+MOD(ROW(),7)*0.005)</x:f>
        <x:v>305.52479999999997</x:v>
      </x:c>
    </x:row>
    <x:row r="22">
      <x:c r="A22" s="12" t="n">
        <x:v>46288</x:v>
      </x:c>
      <x:c r="B22" t="str">
        <x:v>EC26-0021</x:v>
      </x:c>
      <x:c r="C22" t="str">
        <x:v>West Bengal</x:v>
      </x:c>
      <x:c r="D22" t="str">
        <x:v>Kolkata</x:v>
      </x:c>
      <x:c r="E22" t="str">
        <x:v>Beauty</x:v>
      </x:c>
      <x:c r="F22" t="str">
        <x:v>Face Serum</x:v>
      </x:c>
      <x:c r="G22" t="str">
        <x:v>Corporate</x:v>
      </x:c>
      <x:c r="H22" t="str">
        <x:v>Website</x:v>
      </x:c>
      <x:c r="I22" t="str">
        <x:v>Credit Card</x:v>
      </x:c>
      <x:c r="J22" t="n">
        <x:v>2</x:v>
      </x:c>
      <x:c r="K22" s="14" t="n">
        <x:v>799</x:v>
      </x:c>
      <x:c r="L22" s="16" t="n">
        <x:v>0.1</x:v>
      </x:c>
      <x:c r="M22" t="str">
        <x:v>Meera</x:v>
      </x:c>
      <x:c r="N22" t="n">
        <x:v>1</x:v>
      </x:c>
      <x:c r="O22" s="18" t="n">
        <x:v>3.5</x:v>
      </x:c>
      <x:c r="P22" s="14" t="n">
        <x:f>J22*K22</x:f>
        <x:v>1598</x:v>
      </x:c>
      <x:c r="Q22" s="14" t="n">
        <x:f>P22*(1-L22)</x:f>
        <x:v>1438.2</x:v>
      </x:c>
      <x:c r="R22" s="14" t="n">
        <x:f>Q22*(0.24+MOD(ROW(),7)*0.005)</x:f>
        <x:v>352.359</x:v>
      </x:c>
    </x:row>
    <x:row r="23">
      <x:c r="A23" s="12" t="n">
        <x:v>46255</x:v>
      </x:c>
      <x:c r="B23" t="str">
        <x:v>EC26-0022</x:v>
      </x:c>
      <x:c r="C23" t="str">
        <x:v>Madhya Pradesh</x:v>
      </x:c>
      <x:c r="D23" t="str">
        <x:v>Indore</x:v>
      </x:c>
      <x:c r="E23" t="str">
        <x:v>Home</x:v>
      </x:c>
      <x:c r="F23" t="str">
        <x:v>Coffee Maker</x:v>
      </x:c>
      <x:c r="G23" t="str">
        <x:v>Small Business</x:v>
      </x:c>
      <x:c r="H23" t="str">
        <x:v>Website</x:v>
      </x:c>
      <x:c r="I23" t="str">
        <x:v>UPI</x:v>
      </x:c>
      <x:c r="J23" t="n">
        <x:v>2</x:v>
      </x:c>
      <x:c r="K23" s="14" t="n">
        <x:v>4499</x:v>
      </x:c>
      <x:c r="L23" s="16" t="n">
        <x:v>0.15</x:v>
      </x:c>
      <x:c r="M23" t="str">
        <x:v>Simran</x:v>
      </x:c>
      <x:c r="N23" t="n">
        <x:v>5</x:v>
      </x:c>
      <x:c r="O23" s="18" t="n">
        <x:v>4</x:v>
      </x:c>
      <x:c r="P23" s="14" t="n">
        <x:f>J23*K23</x:f>
        <x:v>8998</x:v>
      </x:c>
      <x:c r="Q23" s="14" t="n">
        <x:f>P23*(1-L23)</x:f>
        <x:v>7648.3</x:v>
      </x:c>
      <x:c r="R23" s="14" t="n">
        <x:f>Q23*(0.24+MOD(ROW(),7)*0.005)</x:f>
        <x:v>1912.075</x:v>
      </x:c>
    </x:row>
    <x:row r="24">
      <x:c r="A24" s="12" t="n">
        <x:v>46374</x:v>
      </x:c>
      <x:c r="B24" t="str">
        <x:v>EC26-0023</x:v>
      </x:c>
      <x:c r="C24" t="str">
        <x:v>Kerala</x:v>
      </x:c>
      <x:c r="D24" t="str">
        <x:v>Kochi</x:v>
      </x:c>
      <x:c r="E24" t="str">
        <x:v>Grocery</x:v>
      </x:c>
      <x:c r="F24" t="str">
        <x:v>Coffee Beans</x:v>
      </x:c>
      <x:c r="G24" t="str">
        <x:v>Corporate</x:v>
      </x:c>
      <x:c r="H24" t="str">
        <x:v>Marketplace</x:v>
      </x:c>
      <x:c r="I24" t="str">
        <x:v>Wallet</x:v>
      </x:c>
      <x:c r="J24" t="n">
        <x:v>1</x:v>
      </x:c>
      <x:c r="K24" s="14" t="n">
        <x:v>699</x:v>
      </x:c>
      <x:c r="L24" s="16" t="n">
        <x:v>0.12</x:v>
      </x:c>
      <x:c r="M24" t="str">
        <x:v>Meera</x:v>
      </x:c>
      <x:c r="N24" t="n">
        <x:v>4</x:v>
      </x:c>
      <x:c r="O24" s="18" t="n">
        <x:v>4.5</x:v>
      </x:c>
      <x:c r="P24" s="14" t="n">
        <x:f>J24*K24</x:f>
        <x:v>699</x:v>
      </x:c>
      <x:c r="Q24" s="14" t="n">
        <x:f>P24*(1-L24)</x:f>
        <x:v>615.12</x:v>
      </x:c>
      <x:c r="R24" s="14" t="n">
        <x:f>Q24*(0.24+MOD(ROW(),7)*0.005)</x:f>
        <x:v>156.8556</x:v>
      </x:c>
    </x:row>
    <x:row r="25">
      <x:c r="A25" s="12" t="n">
        <x:v>46366</x:v>
      </x:c>
      <x:c r="B25" t="str">
        <x:v>EC26-0024</x:v>
      </x:c>
      <x:c r="C25" t="str">
        <x:v>Rajasthan</x:v>
      </x:c>
      <x:c r="D25" t="str">
        <x:v>Jaipur</x:v>
      </x:c>
      <x:c r="E25" t="str">
        <x:v>Fashion</x:v>
      </x:c>
      <x:c r="F25" t="str">
        <x:v>Running Shoes</x:v>
      </x:c>
      <x:c r="G25" t="str">
        <x:v>Corporate</x:v>
      </x:c>
      <x:c r="H25" t="str">
        <x:v>Website</x:v>
      </x:c>
      <x:c r="I25" t="str">
        <x:v>UPI</x:v>
      </x:c>
      <x:c r="J25" t="n">
        <x:v>3</x:v>
      </x:c>
      <x:c r="K25" s="14" t="n">
        <x:v>3499</x:v>
      </x:c>
      <x:c r="L25" s="16" t="n">
        <x:v>0</x:v>
      </x:c>
      <x:c r="M25" t="str">
        <x:v>Aarav</x:v>
      </x:c>
      <x:c r="N25" t="n">
        <x:v>4</x:v>
      </x:c>
      <x:c r="O25" s="18" t="n">
        <x:v>5</x:v>
      </x:c>
      <x:c r="P25" s="14" t="n">
        <x:f>J25*K25</x:f>
        <x:v>10497</x:v>
      </x:c>
      <x:c r="Q25" s="14" t="n">
        <x:f>P25*(1-L25)</x:f>
        <x:v>10497</x:v>
      </x:c>
      <x:c r="R25" s="14" t="n">
        <x:f>Q25*(0.24+MOD(ROW(),7)*0.005)</x:f>
        <x:v>2729.2200000000003</x:v>
      </x:c>
    </x:row>
    <x:row r="26">
      <x:c r="A26" s="12" t="n">
        <x:v>46117</x:v>
      </x:c>
      <x:c r="B26" t="str">
        <x:v>EC26-0025</x:v>
      </x:c>
      <x:c r="C26" t="str">
        <x:v>Madhya Pradesh</x:v>
      </x:c>
      <x:c r="D26" t="str">
        <x:v>Indore</x:v>
      </x:c>
      <x:c r="E26" t="str">
        <x:v>Electronics</x:v>
      </x:c>
      <x:c r="F26" t="str">
        <x:v>USB-C Hub</x:v>
      </x:c>
      <x:c r="G26" t="str">
        <x:v>Consumer</x:v>
      </x:c>
      <x:c r="H26" t="str">
        <x:v>Mobile App</x:v>
      </x:c>
      <x:c r="I26" t="str">
        <x:v>Debit Card</x:v>
      </x:c>
      <x:c r="J26" t="n">
        <x:v>1</x:v>
      </x:c>
      <x:c r="K26" s="14" t="n">
        <x:v>1999</x:v>
      </x:c>
      <x:c r="L26" s="16" t="n">
        <x:v>0.1</x:v>
      </x:c>
      <x:c r="M26" t="str">
        <x:v>Kabir</x:v>
      </x:c>
      <x:c r="N26" t="n">
        <x:v>3</x:v>
      </x:c>
      <x:c r="O26" s="18" t="n">
        <x:v>3.5</x:v>
      </x:c>
      <x:c r="P26" s="14" t="n">
        <x:f>J26*K26</x:f>
        <x:v>1999</x:v>
      </x:c>
      <x:c r="Q26" s="14" t="n">
        <x:f>P26*(1-L26)</x:f>
        <x:v>1799.1000000000001</x:v>
      </x:c>
      <x:c r="R26" s="14" t="n">
        <x:f>Q26*(0.24+MOD(ROW(),7)*0.005)</x:f>
        <x:v>476.76150000000007</x:v>
      </x:c>
    </x:row>
    <x:row r="27">
      <x:c r="A27" s="12" t="n">
        <x:v>46233</x:v>
      </x:c>
      <x:c r="B27" t="str">
        <x:v>EC26-0026</x:v>
      </x:c>
      <x:c r="C27" t="str">
        <x:v>Telangana</x:v>
      </x:c>
      <x:c r="D27" t="str">
        <x:v>Hyderabad</x:v>
      </x:c>
      <x:c r="E27" t="str">
        <x:v>Beauty</x:v>
      </x:c>
      <x:c r="F27" t="str">
        <x:v>Face Serum</x:v>
      </x:c>
      <x:c r="G27" t="str">
        <x:v>Consumer</x:v>
      </x:c>
      <x:c r="H27" t="str">
        <x:v>Mobile App</x:v>
      </x:c>
      <x:c r="I27" t="str">
        <x:v>UPI</x:v>
      </x:c>
      <x:c r="J27" t="n">
        <x:v>1</x:v>
      </x:c>
      <x:c r="K27" s="14" t="n">
        <x:v>799</x:v>
      </x:c>
      <x:c r="L27" s="16" t="n">
        <x:v>0.02</x:v>
      </x:c>
      <x:c r="M27" t="str">
        <x:v>Ishita</x:v>
      </x:c>
      <x:c r="N27" t="n">
        <x:v>4</x:v>
      </x:c>
      <x:c r="O27" s="18" t="n">
        <x:v>4.5</x:v>
      </x:c>
      <x:c r="P27" s="14" t="n">
        <x:f>J27*K27</x:f>
        <x:v>799</x:v>
      </x:c>
      <x:c r="Q27" s="14" t="n">
        <x:f>P27*(1-L27)</x:f>
        <x:v>783.02</x:v>
      </x:c>
      <x:c r="R27" s="14" t="n">
        <x:f>Q27*(0.24+MOD(ROW(),7)*0.005)</x:f>
        <x:v>211.4154</x:v>
      </x:c>
    </x:row>
    <x:row r="28">
      <x:c r="A28" s="12" t="n">
        <x:v>46202</x:v>
      </x:c>
      <x:c r="B28" t="str">
        <x:v>EC26-0027</x:v>
      </x:c>
      <x:c r="C28" t="str">
        <x:v>Uttar Pradesh</x:v>
      </x:c>
      <x:c r="D28" t="str">
        <x:v>Lucknow</x:v>
      </x:c>
      <x:c r="E28" t="str">
        <x:v>Beauty</x:v>
      </x:c>
      <x:c r="F28" t="str">
        <x:v>Makeup Set</x:v>
      </x:c>
      <x:c r="G28" t="str">
        <x:v>Small Business</x:v>
      </x:c>
      <x:c r="H28" t="str">
        <x:v>Website</x:v>
      </x:c>
      <x:c r="I28" t="str">
        <x:v>COD</x:v>
      </x:c>
      <x:c r="J28" t="n">
        <x:v>2</x:v>
      </x:c>
      <x:c r="K28" s="14" t="n">
        <x:v>1599</x:v>
      </x:c>
      <x:c r="L28" s="16" t="n">
        <x:v>0.12</x:v>
      </x:c>
      <x:c r="M28" t="str">
        <x:v>Simran</x:v>
      </x:c>
      <x:c r="N28" t="n">
        <x:v>4</x:v>
      </x:c>
      <x:c r="O28" s="18" t="n">
        <x:v>4.5</x:v>
      </x:c>
      <x:c r="P28" s="14" t="n">
        <x:f>J28*K28</x:f>
        <x:v>3198</x:v>
      </x:c>
      <x:c r="Q28" s="14" t="n">
        <x:f>P28*(1-L28)</x:f>
        <x:v>2814.2400000000002</x:v>
      </x:c>
      <x:c r="R28" s="14" t="n">
        <x:f>Q28*(0.24+MOD(ROW(),7)*0.005)</x:f>
        <x:v>675.4176</x:v>
      </x:c>
    </x:row>
    <x:row r="29">
      <x:c r="A29" s="12" t="n">
        <x:v>46241</x:v>
      </x:c>
      <x:c r="B29" t="str">
        <x:v>EC26-0028</x:v>
      </x:c>
      <x:c r="C29" t="str">
        <x:v>Madhya Pradesh</x:v>
      </x:c>
      <x:c r="D29" t="str">
        <x:v>Indore</x:v>
      </x:c>
      <x:c r="E29" t="str">
        <x:v>Electronics</x:v>
      </x:c>
      <x:c r="F29" t="str">
        <x:v>Bluetooth Speaker</x:v>
      </x:c>
      <x:c r="G29" t="str">
        <x:v>Corporate</x:v>
      </x:c>
      <x:c r="H29" t="str">
        <x:v>Mobile App</x:v>
      </x:c>
      <x:c r="I29" t="str">
        <x:v>Debit Card</x:v>
      </x:c>
      <x:c r="J29" t="n">
        <x:v>3</x:v>
      </x:c>
      <x:c r="K29" s="14" t="n">
        <x:v>2999</x:v>
      </x:c>
      <x:c r="L29" s="16" t="n">
        <x:v>0.12</x:v>
      </x:c>
      <x:c r="M29" t="str">
        <x:v>Simran</x:v>
      </x:c>
      <x:c r="N29" t="n">
        <x:v>1</x:v>
      </x:c>
      <x:c r="O29" s="18" t="n">
        <x:v>4.5</x:v>
      </x:c>
      <x:c r="P29" s="14" t="n">
        <x:f>J29*K29</x:f>
        <x:v>8997</x:v>
      </x:c>
      <x:c r="Q29" s="14" t="n">
        <x:f>P29*(1-L29)</x:f>
        <x:v>7917.36</x:v>
      </x:c>
      <x:c r="R29" s="14" t="n">
        <x:f>Q29*(0.24+MOD(ROW(),7)*0.005)</x:f>
        <x:v>1939.7531999999999</x:v>
      </x:c>
    </x:row>
    <x:row r="30">
      <x:c r="A30" s="12" t="n">
        <x:v>46035</x:v>
      </x:c>
      <x:c r="B30" t="str">
        <x:v>EC26-0029</x:v>
      </x:c>
      <x:c r="C30" t="str">
        <x:v>Telangana</x:v>
      </x:c>
      <x:c r="D30" t="str">
        <x:v>Hyderabad</x:v>
      </x:c>
      <x:c r="E30" t="str">
        <x:v>Home</x:v>
      </x:c>
      <x:c r="F30" t="str">
        <x:v>LED Lamp</x:v>
      </x:c>
      <x:c r="G30" t="str">
        <x:v>Consumer</x:v>
      </x:c>
      <x:c r="H30" t="str">
        <x:v>Mobile App</x:v>
      </x:c>
      <x:c r="I30" t="str">
        <x:v>COD</x:v>
      </x:c>
      <x:c r="J30" t="n">
        <x:v>2</x:v>
      </x:c>
      <x:c r="K30" s="14" t="n">
        <x:v>899</x:v>
      </x:c>
      <x:c r="L30" s="16" t="n">
        <x:v>0.15</x:v>
      </x:c>
      <x:c r="M30" t="str">
        <x:v>Simran</x:v>
      </x:c>
      <x:c r="N30" t="n">
        <x:v>4</x:v>
      </x:c>
      <x:c r="O30" s="18" t="n">
        <x:v>3</x:v>
      </x:c>
      <x:c r="P30" s="14" t="n">
        <x:f>J30*K30</x:f>
        <x:v>1798</x:v>
      </x:c>
      <x:c r="Q30" s="14" t="n">
        <x:f>P30*(1-L30)</x:f>
        <x:v>1528.3</x:v>
      </x:c>
      <x:c r="R30" s="14" t="n">
        <x:f>Q30*(0.24+MOD(ROW(),7)*0.005)</x:f>
        <x:v>382.075</x:v>
      </x:c>
    </x:row>
    <x:row r="31">
      <x:c r="A31" s="12" t="n">
        <x:v>46198</x:v>
      </x:c>
      <x:c r="B31" t="str">
        <x:v>EC26-0030</x:v>
      </x:c>
      <x:c r="C31" t="str">
        <x:v>Tamil Nadu</x:v>
      </x:c>
      <x:c r="D31" t="str">
        <x:v>Chennai</x:v>
      </x:c>
      <x:c r="E31" t="str">
        <x:v>Grocery</x:v>
      </x:c>
      <x:c r="F31" t="str">
        <x:v>Dry Fruits Pack</x:v>
      </x:c>
      <x:c r="G31" t="str">
        <x:v>Consumer</x:v>
      </x:c>
      <x:c r="H31" t="str">
        <x:v>Marketplace</x:v>
      </x:c>
      <x:c r="I31" t="str">
        <x:v>UPI</x:v>
      </x:c>
      <x:c r="J31" t="n">
        <x:v>2</x:v>
      </x:c>
      <x:c r="K31" s="14" t="n">
        <x:v>999</x:v>
      </x:c>
      <x:c r="L31" s="16" t="n">
        <x:v>0</x:v>
      </x:c>
      <x:c r="M31" t="str">
        <x:v>Ishita</x:v>
      </x:c>
      <x:c r="N31" t="n">
        <x:v>1</x:v>
      </x:c>
      <x:c r="O31" s="18" t="n">
        <x:v>4.5</x:v>
      </x:c>
      <x:c r="P31" s="14" t="n">
        <x:f>J31*K31</x:f>
        <x:v>1998</x:v>
      </x:c>
      <x:c r="Q31" s="14" t="n">
        <x:f>P31*(1-L31)</x:f>
        <x:v>1998</x:v>
      </x:c>
      <x:c r="R31" s="14" t="n">
        <x:f>Q31*(0.24+MOD(ROW(),7)*0.005)</x:f>
        <x:v>509.49</x:v>
      </x:c>
    </x:row>
    <x:row r="32">
      <x:c r="A32" s="12" t="n">
        <x:v>46328</x:v>
      </x:c>
      <x:c r="B32" t="str">
        <x:v>EC26-0031</x:v>
      </x:c>
      <x:c r="C32" t="str">
        <x:v>Madhya Pradesh</x:v>
      </x:c>
      <x:c r="D32" t="str">
        <x:v>Indore</x:v>
      </x:c>
      <x:c r="E32" t="str">
        <x:v>Home</x:v>
      </x:c>
      <x:c r="F32" t="str">
        <x:v>Air Fryer</x:v>
      </x:c>
      <x:c r="G32" t="str">
        <x:v>Corporate</x:v>
      </x:c>
      <x:c r="H32" t="str">
        <x:v>Mobile App</x:v>
      </x:c>
      <x:c r="I32" t="str">
        <x:v>COD</x:v>
      </x:c>
      <x:c r="J32" t="n">
        <x:v>2</x:v>
      </x:c>
      <x:c r="K32" s="14" t="n">
        <x:v>5999</x:v>
      </x:c>
      <x:c r="L32" s="16" t="n">
        <x:v>0.02</x:v>
      </x:c>
      <x:c r="M32" t="str">
        <x:v>Vihaan</x:v>
      </x:c>
      <x:c r="N32" t="n">
        <x:v>2</x:v>
      </x:c>
      <x:c r="O32" s="18" t="n">
        <x:v>4.5</x:v>
      </x:c>
      <x:c r="P32" s="14" t="n">
        <x:f>J32*K32</x:f>
        <x:v>11998</x:v>
      </x:c>
      <x:c r="Q32" s="14" t="n">
        <x:f>P32*(1-L32)</x:f>
        <x:v>11758.039999999999</x:v>
      </x:c>
      <x:c r="R32" s="14" t="n">
        <x:f>Q32*(0.24+MOD(ROW(),7)*0.005)</x:f>
        <x:v>3057.0904</x:v>
      </x:c>
    </x:row>
    <x:row r="33">
      <x:c r="A33" s="12" t="n">
        <x:v>46135</x:v>
      </x:c>
      <x:c r="B33" t="str">
        <x:v>EC26-0032</x:v>
      </x:c>
      <x:c r="C33" t="str">
        <x:v>Delhi</x:v>
      </x:c>
      <x:c r="D33" t="str">
        <x:v>New Delhi</x:v>
      </x:c>
      <x:c r="E33" t="str">
        <x:v>Fashion</x:v>
      </x:c>
      <x:c r="F33" t="str">
        <x:v>Sneakers</x:v>
      </x:c>
      <x:c r="G33" t="str">
        <x:v>Small Business</x:v>
      </x:c>
      <x:c r="H33" t="str">
        <x:v>Marketplace</x:v>
      </x:c>
      <x:c r="I33" t="str">
        <x:v>Wallet</x:v>
      </x:c>
      <x:c r="J33" t="n">
        <x:v>1</x:v>
      </x:c>
      <x:c r="K33" s="14" t="n">
        <x:v>2799</x:v>
      </x:c>
      <x:c r="L33" s="16" t="n">
        <x:v>0.12</x:v>
      </x:c>
      <x:c r="M33" t="str">
        <x:v>Vihaan</x:v>
      </x:c>
      <x:c r="N33" t="n">
        <x:v>5</x:v>
      </x:c>
      <x:c r="O33" s="18" t="n">
        <x:v>5</x:v>
      </x:c>
      <x:c r="P33" s="14" t="n">
        <x:f>J33*K33</x:f>
        <x:v>2799</x:v>
      </x:c>
      <x:c r="Q33" s="14" t="n">
        <x:f>P33*(1-L33)</x:f>
        <x:v>2463.12</x:v>
      </x:c>
      <x:c r="R33" s="14" t="n">
        <x:f>Q33*(0.24+MOD(ROW(),7)*0.005)</x:f>
        <x:v>652.7268</x:v>
      </x:c>
    </x:row>
    <x:row r="34">
      <x:c r="A34" s="12" t="n">
        <x:v>46139</x:v>
      </x:c>
      <x:c r="B34" t="str">
        <x:v>EC26-0033</x:v>
      </x:c>
      <x:c r="C34" t="str">
        <x:v>Maharashtra</x:v>
      </x:c>
      <x:c r="D34" t="str">
        <x:v>Mumbai</x:v>
      </x:c>
      <x:c r="E34" t="str">
        <x:v>Electronics</x:v>
      </x:c>
      <x:c r="F34" t="str">
        <x:v>Bluetooth Speaker</x:v>
      </x:c>
      <x:c r="G34" t="str">
        <x:v>Corporate</x:v>
      </x:c>
      <x:c r="H34" t="str">
        <x:v>Mobile App</x:v>
      </x:c>
      <x:c r="I34" t="str">
        <x:v>Credit Card</x:v>
      </x:c>
      <x:c r="J34" t="n">
        <x:v>2</x:v>
      </x:c>
      <x:c r="K34" s="14" t="n">
        <x:v>2999</x:v>
      </x:c>
      <x:c r="L34" s="16" t="n">
        <x:v>0.07</x:v>
      </x:c>
      <x:c r="M34" t="str">
        <x:v>Ishita</x:v>
      </x:c>
      <x:c r="N34" t="n">
        <x:v>5</x:v>
      </x:c>
      <x:c r="O34" s="18" t="n">
        <x:v>4.5</x:v>
      </x:c>
      <x:c r="P34" s="14" t="n">
        <x:f>J34*K34</x:f>
        <x:v>5998</x:v>
      </x:c>
      <x:c r="Q34" s="14" t="n">
        <x:f>P34*(1-L34)</x:f>
        <x:v>5578.139999999999</x:v>
      </x:c>
      <x:c r="R34" s="14" t="n">
        <x:f>Q34*(0.24+MOD(ROW(),7)*0.005)</x:f>
        <x:v>1506.0978</x:v>
      </x:c>
    </x:row>
    <x:row r="35">
      <x:c r="A35" s="12" t="n">
        <x:v>46355</x:v>
      </x:c>
      <x:c r="B35" t="str">
        <x:v>EC26-0034</x:v>
      </x:c>
      <x:c r="C35" t="str">
        <x:v>Rajasthan</x:v>
      </x:c>
      <x:c r="D35" t="str">
        <x:v>Jaipur</x:v>
      </x:c>
      <x:c r="E35" t="str">
        <x:v>Home</x:v>
      </x:c>
      <x:c r="F35" t="str">
        <x:v>LED Lamp</x:v>
      </x:c>
      <x:c r="G35" t="str">
        <x:v>Small Business</x:v>
      </x:c>
      <x:c r="H35" t="str">
        <x:v>Mobile App</x:v>
      </x:c>
      <x:c r="I35" t="str">
        <x:v>UPI</x:v>
      </x:c>
      <x:c r="J35" t="n">
        <x:v>2</x:v>
      </x:c>
      <x:c r="K35" s="14" t="n">
        <x:v>899</x:v>
      </x:c>
      <x:c r="L35" s="16" t="n">
        <x:v>0.15</x:v>
      </x:c>
      <x:c r="M35" t="str">
        <x:v>Aarav</x:v>
      </x:c>
      <x:c r="N35" t="n">
        <x:v>4</x:v>
      </x:c>
      <x:c r="O35" s="18" t="n">
        <x:v>4</x:v>
      </x:c>
      <x:c r="P35" s="14" t="n">
        <x:f>J35*K35</x:f>
        <x:v>1798</x:v>
      </x:c>
      <x:c r="Q35" s="14" t="n">
        <x:f>P35*(1-L35)</x:f>
        <x:v>1528.3</x:v>
      </x:c>
      <x:c r="R35" s="14" t="n">
        <x:f>Q35*(0.24+MOD(ROW(),7)*0.005)</x:f>
        <x:v>366.792</x:v>
      </x:c>
    </x:row>
    <x:row r="36">
      <x:c r="A36" s="12" t="n">
        <x:v>46052</x:v>
      </x:c>
      <x:c r="B36" t="str">
        <x:v>EC26-0035</x:v>
      </x:c>
      <x:c r="C36" t="str">
        <x:v>Tamil Nadu</x:v>
      </x:c>
      <x:c r="D36" t="str">
        <x:v>Chennai</x:v>
      </x:c>
      <x:c r="E36" t="str">
        <x:v>Grocery</x:v>
      </x:c>
      <x:c r="F36" t="str">
        <x:v>Coffee Beans</x:v>
      </x:c>
      <x:c r="G36" t="str">
        <x:v>Corporate</x:v>
      </x:c>
      <x:c r="H36" t="str">
        <x:v>Marketplace</x:v>
      </x:c>
      <x:c r="I36" t="str">
        <x:v>Debit Card</x:v>
      </x:c>
      <x:c r="J36" t="n">
        <x:v>4</x:v>
      </x:c>
      <x:c r="K36" s="14" t="n">
        <x:v>699</x:v>
      </x:c>
      <x:c r="L36" s="16" t="n">
        <x:v>0.15</x:v>
      </x:c>
      <x:c r="M36" t="str">
        <x:v>Meera</x:v>
      </x:c>
      <x:c r="N36" t="n">
        <x:v>4</x:v>
      </x:c>
      <x:c r="O36" s="18" t="n">
        <x:v>4</x:v>
      </x:c>
      <x:c r="P36" s="14" t="n">
        <x:f>J36*K36</x:f>
        <x:v>2796</x:v>
      </x:c>
      <x:c r="Q36" s="14" t="n">
        <x:f>P36*(1-L36)</x:f>
        <x:v>2376.6</x:v>
      </x:c>
      <x:c r="R36" s="14" t="n">
        <x:f>Q36*(0.24+MOD(ROW(),7)*0.005)</x:f>
        <x:v>582.2669999999999</x:v>
      </x:c>
    </x:row>
    <x:row r="37">
      <x:c r="A37" s="12" t="n">
        <x:v>46125</x:v>
      </x:c>
      <x:c r="B37" t="str">
        <x:v>EC26-0036</x:v>
      </x:c>
      <x:c r="C37" t="str">
        <x:v>Uttar Pradesh</x:v>
      </x:c>
      <x:c r="D37" t="str">
        <x:v>Lucknow</x:v>
      </x:c>
      <x:c r="E37" t="str">
        <x:v>Home</x:v>
      </x:c>
      <x:c r="F37" t="str">
        <x:v>Coffee Maker</x:v>
      </x:c>
      <x:c r="G37" t="str">
        <x:v>Corporate</x:v>
      </x:c>
      <x:c r="H37" t="str">
        <x:v>Marketplace</x:v>
      </x:c>
      <x:c r="I37" t="str">
        <x:v>Wallet</x:v>
      </x:c>
      <x:c r="J37" t="n">
        <x:v>2</x:v>
      </x:c>
      <x:c r="K37" s="14" t="n">
        <x:v>4499</x:v>
      </x:c>
      <x:c r="L37" s="16" t="n">
        <x:v>0.1</x:v>
      </x:c>
      <x:c r="M37" t="str">
        <x:v>Rohan</x:v>
      </x:c>
      <x:c r="N37" t="n">
        <x:v>2</x:v>
      </x:c>
      <x:c r="O37" s="18" t="n">
        <x:v>4.5</x:v>
      </x:c>
      <x:c r="P37" s="14" t="n">
        <x:f>J37*K37</x:f>
        <x:v>8998</x:v>
      </x:c>
      <x:c r="Q37" s="14" t="n">
        <x:f>P37*(1-L37)</x:f>
        <x:v>8098.2</x:v>
      </x:c>
      <x:c r="R37" s="14" t="n">
        <x:f>Q37*(0.24+MOD(ROW(),7)*0.005)</x:f>
        <x:v>2024.55</x:v>
      </x:c>
    </x:row>
    <x:row r="38">
      <x:c r="A38" s="12" t="n">
        <x:v>46101</x:v>
      </x:c>
      <x:c r="B38" t="str">
        <x:v>EC26-0037</x:v>
      </x:c>
      <x:c r="C38" t="str">
        <x:v>West Bengal</x:v>
      </x:c>
      <x:c r="D38" t="str">
        <x:v>Kolkata</x:v>
      </x:c>
      <x:c r="E38" t="str">
        <x:v>Electronics</x:v>
      </x:c>
      <x:c r="F38" t="str">
        <x:v>Bluetooth Speaker</x:v>
      </x:c>
      <x:c r="G38" t="str">
        <x:v>Small Business</x:v>
      </x:c>
      <x:c r="H38" t="str">
        <x:v>Marketplace</x:v>
      </x:c>
      <x:c r="I38" t="str">
        <x:v>COD</x:v>
      </x:c>
      <x:c r="J38" t="n">
        <x:v>3</x:v>
      </x:c>
      <x:c r="K38" s="14" t="n">
        <x:v>2999</x:v>
      </x:c>
      <x:c r="L38" s="16" t="n">
        <x:v>0.15</x:v>
      </x:c>
      <x:c r="M38" t="str">
        <x:v>Aarav</x:v>
      </x:c>
      <x:c r="N38" t="n">
        <x:v>4</x:v>
      </x:c>
      <x:c r="O38" s="18" t="n">
        <x:v>3.5</x:v>
      </x:c>
      <x:c r="P38" s="14" t="n">
        <x:f>J38*K38</x:f>
        <x:v>8997</x:v>
      </x:c>
      <x:c r="Q38" s="14" t="n">
        <x:f>P38*(1-L38)</x:f>
        <x:v>7647.45</x:v>
      </x:c>
      <x:c r="R38" s="14" t="n">
        <x:f>Q38*(0.24+MOD(ROW(),7)*0.005)</x:f>
        <x:v>1950.09975</x:v>
      </x:c>
    </x:row>
    <x:row r="39">
      <x:c r="A39" s="12" t="n">
        <x:v>46213</x:v>
      </x:c>
      <x:c r="B39" t="str">
        <x:v>EC26-0038</x:v>
      </x:c>
      <x:c r="C39" t="str">
        <x:v>Rajasthan</x:v>
      </x:c>
      <x:c r="D39" t="str">
        <x:v>Jaipur</x:v>
      </x:c>
      <x:c r="E39" t="str">
        <x:v>Home</x:v>
      </x:c>
      <x:c r="F39" t="str">
        <x:v>Bedsheet Set</x:v>
      </x:c>
      <x:c r="G39" t="str">
        <x:v>Consumer</x:v>
      </x:c>
      <x:c r="H39" t="str">
        <x:v>Marketplace</x:v>
      </x:c>
      <x:c r="I39" t="str">
        <x:v>Credit Card</x:v>
      </x:c>
      <x:c r="J39" t="n">
        <x:v>2</x:v>
      </x:c>
      <x:c r="K39" s="14" t="n">
        <x:v>1499</x:v>
      </x:c>
      <x:c r="L39" s="16" t="n">
        <x:v>0</x:v>
      </x:c>
      <x:c r="M39" t="str">
        <x:v>Rohan</x:v>
      </x:c>
      <x:c r="N39" t="n">
        <x:v>4</x:v>
      </x:c>
      <x:c r="O39" s="18" t="n">
        <x:v>5</x:v>
      </x:c>
      <x:c r="P39" s="14" t="n">
        <x:f>J39*K39</x:f>
        <x:v>2998</x:v>
      </x:c>
      <x:c r="Q39" s="14" t="n">
        <x:f>P39*(1-L39)</x:f>
        <x:v>2998</x:v>
      </x:c>
      <x:c r="R39" s="14" t="n">
        <x:f>Q39*(0.24+MOD(ROW(),7)*0.005)</x:f>
        <x:v>779.48</x:v>
      </x:c>
    </x:row>
    <x:row r="40">
      <x:c r="A40" s="12" t="n">
        <x:v>46217</x:v>
      </x:c>
      <x:c r="B40" t="str">
        <x:v>EC26-0039</x:v>
      </x:c>
      <x:c r="C40" t="str">
        <x:v>Rajasthan</x:v>
      </x:c>
      <x:c r="D40" t="str">
        <x:v>Jaipur</x:v>
      </x:c>
      <x:c r="E40" t="str">
        <x:v>Grocery</x:v>
      </x:c>
      <x:c r="F40" t="str">
        <x:v>Coffee Beans</x:v>
      </x:c>
      <x:c r="G40" t="str">
        <x:v>Consumer</x:v>
      </x:c>
      <x:c r="H40" t="str">
        <x:v>Website</x:v>
      </x:c>
      <x:c r="I40" t="str">
        <x:v>COD</x:v>
      </x:c>
      <x:c r="J40" t="n">
        <x:v>4</x:v>
      </x:c>
      <x:c r="K40" s="14" t="n">
        <x:v>699</x:v>
      </x:c>
      <x:c r="L40" s="16" t="n">
        <x:v>0</x:v>
      </x:c>
      <x:c r="M40" t="str">
        <x:v>Simran</x:v>
      </x:c>
      <x:c r="N40" t="n">
        <x:v>4</x:v>
      </x:c>
      <x:c r="O40" s="18" t="n">
        <x:v>4</x:v>
      </x:c>
      <x:c r="P40" s="14" t="n">
        <x:f>J40*K40</x:f>
        <x:v>2796</x:v>
      </x:c>
      <x:c r="Q40" s="14" t="n">
        <x:f>P40*(1-L40)</x:f>
        <x:v>2796</x:v>
      </x:c>
      <x:c r="R40" s="14" t="n">
        <x:f>Q40*(0.24+MOD(ROW(),7)*0.005)</x:f>
        <x:v>740.94</x:v>
      </x:c>
    </x:row>
    <x:row r="41">
      <x:c r="A41" s="12" t="n">
        <x:v>46326</x:v>
      </x:c>
      <x:c r="B41" t="str">
        <x:v>EC26-0040</x:v>
      </x:c>
      <x:c r="C41" t="str">
        <x:v>Madhya Pradesh</x:v>
      </x:c>
      <x:c r="D41" t="str">
        <x:v>Indore</x:v>
      </x:c>
      <x:c r="E41" t="str">
        <x:v>Fashion</x:v>
      </x:c>
      <x:c r="F41" t="str">
        <x:v>Hoodie</x:v>
      </x:c>
      <x:c r="G41" t="str">
        <x:v>Small Business</x:v>
      </x:c>
      <x:c r="H41" t="str">
        <x:v>Mobile App</x:v>
      </x:c>
      <x:c r="I41" t="str">
        <x:v>Debit Card</x:v>
      </x:c>
      <x:c r="J41" t="n">
        <x:v>3</x:v>
      </x:c>
      <x:c r="K41" s="14" t="n">
        <x:v>1999</x:v>
      </x:c>
      <x:c r="L41" s="16" t="n">
        <x:v>0.05</x:v>
      </x:c>
      <x:c r="M41" t="str">
        <x:v>Kabir</x:v>
      </x:c>
      <x:c r="N41" t="n">
        <x:v>6</x:v>
      </x:c>
      <x:c r="O41" s="18" t="n">
        <x:v>4</x:v>
      </x:c>
      <x:c r="P41" s="14" t="n">
        <x:f>J41*K41</x:f>
        <x:v>5997</x:v>
      </x:c>
      <x:c r="Q41" s="14" t="n">
        <x:f>P41*(1-L41)</x:f>
        <x:v>5697.15</x:v>
      </x:c>
      <x:c r="R41" s="14" t="n">
        <x:f>Q41*(0.24+MOD(ROW(),7)*0.005)</x:f>
        <x:v>1538.2305</x:v>
      </x:c>
    </x:row>
    <x:row r="42">
      <x:c r="A42" s="12" t="n">
        <x:v>46345</x:v>
      </x:c>
      <x:c r="B42" t="str">
        <x:v>EC26-0041</x:v>
      </x:c>
      <x:c r="C42" t="str">
        <x:v>Maharashtra</x:v>
      </x:c>
      <x:c r="D42" t="str">
        <x:v>Mumbai</x:v>
      </x:c>
      <x:c r="E42" t="str">
        <x:v>Grocery</x:v>
      </x:c>
      <x:c r="F42" t="str">
        <x:v>Protein Bars</x:v>
      </x:c>
      <x:c r="G42" t="str">
        <x:v>Small Business</x:v>
      </x:c>
      <x:c r="H42" t="str">
        <x:v>Website</x:v>
      </x:c>
      <x:c r="I42" t="str">
        <x:v>Wallet</x:v>
      </x:c>
      <x:c r="J42" t="n">
        <x:v>4</x:v>
      </x:c>
      <x:c r="K42" s="14" t="n">
        <x:v>899</x:v>
      </x:c>
      <x:c r="L42" s="16" t="n">
        <x:v>0.05</x:v>
      </x:c>
      <x:c r="M42" t="str">
        <x:v>Aarav</x:v>
      </x:c>
      <x:c r="N42" t="n">
        <x:v>2</x:v>
      </x:c>
      <x:c r="O42" s="18" t="n">
        <x:v>4.5</x:v>
      </x:c>
      <x:c r="P42" s="14" t="n">
        <x:f>J42*K42</x:f>
        <x:v>3596</x:v>
      </x:c>
      <x:c r="Q42" s="14" t="n">
        <x:f>P42*(1-L42)</x:f>
        <x:v>3416.2</x:v>
      </x:c>
      <x:c r="R42" s="14" t="n">
        <x:f>Q42*(0.24+MOD(ROW(),7)*0.005)</x:f>
        <x:v>819.8879999999999</x:v>
      </x:c>
    </x:row>
    <x:row r="43">
      <x:c r="A43" s="12" t="n">
        <x:v>46106</x:v>
      </x:c>
      <x:c r="B43" t="str">
        <x:v>EC26-0042</x:v>
      </x:c>
      <x:c r="C43" t="str">
        <x:v>Maharashtra</x:v>
      </x:c>
      <x:c r="D43" t="str">
        <x:v>Mumbai</x:v>
      </x:c>
      <x:c r="E43" t="str">
        <x:v>Electronics</x:v>
      </x:c>
      <x:c r="F43" t="str">
        <x:v>USB-C Hub</x:v>
      </x:c>
      <x:c r="G43" t="str">
        <x:v>Small Business</x:v>
      </x:c>
      <x:c r="H43" t="str">
        <x:v>Website</x:v>
      </x:c>
      <x:c r="I43" t="str">
        <x:v>Debit Card</x:v>
      </x:c>
      <x:c r="J43" t="n">
        <x:v>2</x:v>
      </x:c>
      <x:c r="K43" s="14" t="n">
        <x:v>1999</x:v>
      </x:c>
      <x:c r="L43" s="16" t="n">
        <x:v>0.12</x:v>
      </x:c>
      <x:c r="M43" t="str">
        <x:v>Ishita</x:v>
      </x:c>
      <x:c r="N43" t="n">
        <x:v>3</x:v>
      </x:c>
      <x:c r="O43" s="18" t="n">
        <x:v>4</x:v>
      </x:c>
      <x:c r="P43" s="14" t="n">
        <x:f>J43*K43</x:f>
        <x:v>3998</x:v>
      </x:c>
      <x:c r="Q43" s="14" t="n">
        <x:f>P43*(1-L43)</x:f>
        <x:v>3518.2400000000002</x:v>
      </x:c>
      <x:c r="R43" s="14" t="n">
        <x:f>Q43*(0.24+MOD(ROW(),7)*0.005)</x:f>
        <x:v>861.9688</x:v>
      </x:c>
    </x:row>
    <x:row r="44">
      <x:c r="A44" s="12" t="n">
        <x:v>46101</x:v>
      </x:c>
      <x:c r="B44" t="str">
        <x:v>EC26-0043</x:v>
      </x:c>
      <x:c r="C44" t="str">
        <x:v>Kerala</x:v>
      </x:c>
      <x:c r="D44" t="str">
        <x:v>Kochi</x:v>
      </x:c>
      <x:c r="E44" t="str">
        <x:v>Grocery</x:v>
      </x:c>
      <x:c r="F44" t="str">
        <x:v>Coffee Beans</x:v>
      </x:c>
      <x:c r="G44" t="str">
        <x:v>Corporate</x:v>
      </x:c>
      <x:c r="H44" t="str">
        <x:v>Website</x:v>
      </x:c>
      <x:c r="I44" t="str">
        <x:v>UPI</x:v>
      </x:c>
      <x:c r="J44" t="n">
        <x:v>1</x:v>
      </x:c>
      <x:c r="K44" s="14" t="n">
        <x:v>699</x:v>
      </x:c>
      <x:c r="L44" s="16" t="n">
        <x:v>0.05</x:v>
      </x:c>
      <x:c r="M44" t="str">
        <x:v>Vihaan</x:v>
      </x:c>
      <x:c r="N44" t="n">
        <x:v>3</x:v>
      </x:c>
      <x:c r="O44" s="18" t="n">
        <x:v>4</x:v>
      </x:c>
      <x:c r="P44" s="14" t="n">
        <x:f>J44*K44</x:f>
        <x:v>699</x:v>
      </x:c>
      <x:c r="Q44" s="14" t="n">
        <x:f>P44*(1-L44)</x:f>
        <x:v>664.05</x:v>
      </x:c>
      <x:c r="R44" s="14" t="n">
        <x:f>Q44*(0.24+MOD(ROW(),7)*0.005)</x:f>
        <x:v>166.0125</x:v>
      </x:c>
    </x:row>
    <x:row r="45">
      <x:c r="A45" s="12" t="n">
        <x:v>46083</x:v>
      </x:c>
      <x:c r="B45" t="str">
        <x:v>EC26-0044</x:v>
      </x:c>
      <x:c r="C45" t="str">
        <x:v>Uttar Pradesh</x:v>
      </x:c>
      <x:c r="D45" t="str">
        <x:v>Lucknow</x:v>
      </x:c>
      <x:c r="E45" t="str">
        <x:v>Beauty</x:v>
      </x:c>
      <x:c r="F45" t="str">
        <x:v>Perfume</x:v>
      </x:c>
      <x:c r="G45" t="str">
        <x:v>Consumer</x:v>
      </x:c>
      <x:c r="H45" t="str">
        <x:v>Mobile App</x:v>
      </x:c>
      <x:c r="I45" t="str">
        <x:v>COD</x:v>
      </x:c>
      <x:c r="J45" t="n">
        <x:v>1</x:v>
      </x:c>
      <x:c r="K45" s="14" t="n">
        <x:v>2499</x:v>
      </x:c>
      <x:c r="L45" s="16" t="n">
        <x:v>0.1</x:v>
      </x:c>
      <x:c r="M45" t="str">
        <x:v>Simran</x:v>
      </x:c>
      <x:c r="N45" t="n">
        <x:v>2</x:v>
      </x:c>
      <x:c r="O45" s="18" t="n">
        <x:v>5</x:v>
      </x:c>
      <x:c r="P45" s="14" t="n">
        <x:f>J45*K45</x:f>
        <x:v>2499</x:v>
      </x:c>
      <x:c r="Q45" s="14" t="n">
        <x:f>P45*(1-L45)</x:f>
        <x:v>2249.1</x:v>
      </x:c>
      <x:c r="R45" s="14" t="n">
        <x:f>Q45*(0.24+MOD(ROW(),7)*0.005)</x:f>
        <x:v>573.5205</x:v>
      </x:c>
    </x:row>
    <x:row r="46">
      <x:c r="A46" s="12" t="n">
        <x:v>46067</x:v>
      </x:c>
      <x:c r="B46" t="str">
        <x:v>EC26-0045</x:v>
      </x:c>
      <x:c r="C46" t="str">
        <x:v>West Bengal</x:v>
      </x:c>
      <x:c r="D46" t="str">
        <x:v>Kolkata</x:v>
      </x:c>
      <x:c r="E46" t="str">
        <x:v>Home</x:v>
      </x:c>
      <x:c r="F46" t="str">
        <x:v>LED Lamp</x:v>
      </x:c>
      <x:c r="G46" t="str">
        <x:v>Consumer</x:v>
      </x:c>
      <x:c r="H46" t="str">
        <x:v>Mobile App</x:v>
      </x:c>
      <x:c r="I46" t="str">
        <x:v>COD</x:v>
      </x:c>
      <x:c r="J46" t="n">
        <x:v>3</x:v>
      </x:c>
      <x:c r="K46" s="14" t="n">
        <x:v>899</x:v>
      </x:c>
      <x:c r="L46" s="16" t="n">
        <x:v>0.02</x:v>
      </x:c>
      <x:c r="M46" t="str">
        <x:v>Simran</x:v>
      </x:c>
      <x:c r="N46" t="n">
        <x:v>3</x:v>
      </x:c>
      <x:c r="O46" s="18" t="n">
        <x:v>5</x:v>
      </x:c>
      <x:c r="P46" s="14" t="n">
        <x:f>J46*K46</x:f>
        <x:v>2697</x:v>
      </x:c>
      <x:c r="Q46" s="14" t="n">
        <x:f>P46*(1-L46)</x:f>
        <x:v>2643.06</x:v>
      </x:c>
      <x:c r="R46" s="14" t="n">
        <x:f>Q46*(0.24+MOD(ROW(),7)*0.005)</x:f>
        <x:v>687.1956</x:v>
      </x:c>
    </x:row>
    <x:row r="47">
      <x:c r="A47" s="12" t="n">
        <x:v>46359</x:v>
      </x:c>
      <x:c r="B47" t="str">
        <x:v>EC26-0046</x:v>
      </x:c>
      <x:c r="C47" t="str">
        <x:v>West Bengal</x:v>
      </x:c>
      <x:c r="D47" t="str">
        <x:v>Kolkata</x:v>
      </x:c>
      <x:c r="E47" t="str">
        <x:v>Beauty</x:v>
      </x:c>
      <x:c r="F47" t="str">
        <x:v>Skincare Kit</x:v>
      </x:c>
      <x:c r="G47" t="str">
        <x:v>Corporate</x:v>
      </x:c>
      <x:c r="H47" t="str">
        <x:v>Website</x:v>
      </x:c>
      <x:c r="I47" t="str">
        <x:v>Debit Card</x:v>
      </x:c>
      <x:c r="J47" t="n">
        <x:v>1</x:v>
      </x:c>
      <x:c r="K47" s="14" t="n">
        <x:v>1299</x:v>
      </x:c>
      <x:c r="L47" s="16" t="n">
        <x:v>0.15</x:v>
      </x:c>
      <x:c r="M47" t="str">
        <x:v>Simran</x:v>
      </x:c>
      <x:c r="N47" t="n">
        <x:v>3</x:v>
      </x:c>
      <x:c r="O47" s="18" t="n">
        <x:v>5</x:v>
      </x:c>
      <x:c r="P47" s="14" t="n">
        <x:f>J47*K47</x:f>
        <x:v>1299</x:v>
      </x:c>
      <x:c r="Q47" s="14" t="n">
        <x:f>P47*(1-L47)</x:f>
        <x:v>1104.1499999999999</x:v>
      </x:c>
      <x:c r="R47" s="14" t="n">
        <x:f>Q47*(0.24+MOD(ROW(),7)*0.005)</x:f>
        <x:v>292.59975</x:v>
      </x:c>
    </x:row>
    <x:row r="48">
      <x:c r="A48" s="12" t="n">
        <x:v>46218</x:v>
      </x:c>
      <x:c r="B48" t="str">
        <x:v>EC26-0047</x:v>
      </x:c>
      <x:c r="C48" t="str">
        <x:v>Tamil Nadu</x:v>
      </x:c>
      <x:c r="D48" t="str">
        <x:v>Chennai</x:v>
      </x:c>
      <x:c r="E48" t="str">
        <x:v>Fashion</x:v>
      </x:c>
      <x:c r="F48" t="str">
        <x:v>Backpack</x:v>
      </x:c>
      <x:c r="G48" t="str">
        <x:v>Small Business</x:v>
      </x:c>
      <x:c r="H48" t="str">
        <x:v>Website</x:v>
      </x:c>
      <x:c r="I48" t="str">
        <x:v>COD</x:v>
      </x:c>
      <x:c r="J48" t="n">
        <x:v>3</x:v>
      </x:c>
      <x:c r="K48" s="14" t="n">
        <x:v>1799</x:v>
      </x:c>
      <x:c r="L48" s="16" t="n">
        <x:v>0.12</x:v>
      </x:c>
      <x:c r="M48" t="str">
        <x:v>Rohan</x:v>
      </x:c>
      <x:c r="N48" t="n">
        <x:v>3</x:v>
      </x:c>
      <x:c r="O48" s="18" t="n">
        <x:v>3.5</x:v>
      </x:c>
      <x:c r="P48" s="14" t="n">
        <x:f>J48*K48</x:f>
        <x:v>5397</x:v>
      </x:c>
      <x:c r="Q48" s="14" t="n">
        <x:f>P48*(1-L48)</x:f>
        <x:v>4749.36</x:v>
      </x:c>
      <x:c r="R48" s="14" t="n">
        <x:f>Q48*(0.24+MOD(ROW(),7)*0.005)</x:f>
        <x:v>1282.3272</x:v>
      </x:c>
    </x:row>
    <x:row r="49">
      <x:c r="A49" s="12" t="n">
        <x:v>46159</x:v>
      </x:c>
      <x:c r="B49" t="str">
        <x:v>EC26-0048</x:v>
      </x:c>
      <x:c r="C49" t="str">
        <x:v>West Bengal</x:v>
      </x:c>
      <x:c r="D49" t="str">
        <x:v>Kolkata</x:v>
      </x:c>
      <x:c r="E49" t="str">
        <x:v>Home</x:v>
      </x:c>
      <x:c r="F49" t="str">
        <x:v>Bedsheet Set</x:v>
      </x:c>
      <x:c r="G49" t="str">
        <x:v>Consumer</x:v>
      </x:c>
      <x:c r="H49" t="str">
        <x:v>Mobile App</x:v>
      </x:c>
      <x:c r="I49" t="str">
        <x:v>Credit Card</x:v>
      </x:c>
      <x:c r="J49" t="n">
        <x:v>2</x:v>
      </x:c>
      <x:c r="K49" s="14" t="n">
        <x:v>1499</x:v>
      </x:c>
      <x:c r="L49" s="16" t="n">
        <x:v>0.05</x:v>
      </x:c>
      <x:c r="M49" t="str">
        <x:v>Ishita</x:v>
      </x:c>
      <x:c r="N49" t="n">
        <x:v>3</x:v>
      </x:c>
      <x:c r="O49" s="18" t="n">
        <x:v>4.5</x:v>
      </x:c>
      <x:c r="P49" s="14" t="n">
        <x:f>J49*K49</x:f>
        <x:v>2998</x:v>
      </x:c>
      <x:c r="Q49" s="14" t="n">
        <x:f>P49*(1-L49)</x:f>
        <x:v>2848.1</x:v>
      </x:c>
      <x:c r="R49" s="14" t="n">
        <x:f>Q49*(0.24+MOD(ROW(),7)*0.005)</x:f>
        <x:v>683.544</x:v>
      </x:c>
    </x:row>
    <x:row r="50">
      <x:c r="A50" s="12" t="n">
        <x:v>46347</x:v>
      </x:c>
      <x:c r="B50" t="str">
        <x:v>EC26-0049</x:v>
      </x:c>
      <x:c r="C50" t="str">
        <x:v>Gujarat</x:v>
      </x:c>
      <x:c r="D50" t="str">
        <x:v>Ahmedabad</x:v>
      </x:c>
      <x:c r="E50" t="str">
        <x:v>Beauty</x:v>
      </x:c>
      <x:c r="F50" t="str">
        <x:v>Face Serum</x:v>
      </x:c>
      <x:c r="G50" t="str">
        <x:v>Small Business</x:v>
      </x:c>
      <x:c r="H50" t="str">
        <x:v>Mobile App</x:v>
      </x:c>
      <x:c r="I50" t="str">
        <x:v>Debit Card</x:v>
      </x:c>
      <x:c r="J50" t="n">
        <x:v>2</x:v>
      </x:c>
      <x:c r="K50" s="14" t="n">
        <x:v>799</x:v>
      </x:c>
      <x:c r="L50" s="16" t="n">
        <x:v>0.05</x:v>
      </x:c>
      <x:c r="M50" t="str">
        <x:v>Ishita</x:v>
      </x:c>
      <x:c r="N50" t="n">
        <x:v>4</x:v>
      </x:c>
      <x:c r="O50" s="18" t="n">
        <x:v>5</x:v>
      </x:c>
      <x:c r="P50" s="14" t="n">
        <x:f>J50*K50</x:f>
        <x:v>1598</x:v>
      </x:c>
      <x:c r="Q50" s="14" t="n">
        <x:f>P50*(1-L50)</x:f>
        <x:v>1518.1</x:v>
      </x:c>
      <x:c r="R50" s="14" t="n">
        <x:f>Q50*(0.24+MOD(ROW(),7)*0.005)</x:f>
        <x:v>371.93449999999996</x:v>
      </x:c>
    </x:row>
    <x:row r="51">
      <x:c r="A51" s="12" t="n">
        <x:v>46370</x:v>
      </x:c>
      <x:c r="B51" t="str">
        <x:v>EC26-0050</x:v>
      </x:c>
      <x:c r="C51" t="str">
        <x:v>Madhya Pradesh</x:v>
      </x:c>
      <x:c r="D51" t="str">
        <x:v>Indore</x:v>
      </x:c>
      <x:c r="E51" t="str">
        <x:v>Grocery</x:v>
      </x:c>
      <x:c r="F51" t="str">
        <x:v>Healthy Snacks</x:v>
      </x:c>
      <x:c r="G51" t="str">
        <x:v>Small Business</x:v>
      </x:c>
      <x:c r="H51" t="str">
        <x:v>Mobile App</x:v>
      </x:c>
      <x:c r="I51" t="str">
        <x:v>UPI</x:v>
      </x:c>
      <x:c r="J51" t="n">
        <x:v>1</x:v>
      </x:c>
      <x:c r="K51" s="14" t="n">
        <x:v>599</x:v>
      </x:c>
      <x:c r="L51" s="16" t="n">
        <x:v>0.05</x:v>
      </x:c>
      <x:c r="M51" t="str">
        <x:v>Vihaan</x:v>
      </x:c>
      <x:c r="N51" t="n">
        <x:v>4</x:v>
      </x:c>
      <x:c r="O51" s="18" t="n">
        <x:v>3</x:v>
      </x:c>
      <x:c r="P51" s="14" t="n">
        <x:f>J51*K51</x:f>
        <x:v>599</x:v>
      </x:c>
      <x:c r="Q51" s="14" t="n">
        <x:f>P51*(1-L51)</x:f>
        <x:v>569.05</x:v>
      </x:c>
      <x:c r="R51" s="14" t="n">
        <x:f>Q51*(0.24+MOD(ROW(),7)*0.005)</x:f>
        <x:v>142.2625</x:v>
      </x:c>
    </x:row>
    <x:row r="52">
      <x:c r="A52" s="12" t="n">
        <x:v>46309</x:v>
      </x:c>
      <x:c r="B52" t="str">
        <x:v>EC26-0051</x:v>
      </x:c>
      <x:c r="C52" t="str">
        <x:v>Punjab</x:v>
      </x:c>
      <x:c r="D52" t="str">
        <x:v>Ludhiana</x:v>
      </x:c>
      <x:c r="E52" t="str">
        <x:v>Home</x:v>
      </x:c>
      <x:c r="F52" t="str">
        <x:v>Bedsheet Set</x:v>
      </x:c>
      <x:c r="G52" t="str">
        <x:v>Small Business</x:v>
      </x:c>
      <x:c r="H52" t="str">
        <x:v>Mobile App</x:v>
      </x:c>
      <x:c r="I52" t="str">
        <x:v>COD</x:v>
      </x:c>
      <x:c r="J52" t="n">
        <x:v>1</x:v>
      </x:c>
      <x:c r="K52" s="14" t="n">
        <x:v>1499</x:v>
      </x:c>
      <x:c r="L52" s="16" t="n">
        <x:v>0.12</x:v>
      </x:c>
      <x:c r="M52" t="str">
        <x:v>Anaya</x:v>
      </x:c>
      <x:c r="N52" t="n">
        <x:v>3</x:v>
      </x:c>
      <x:c r="O52" s="18" t="n">
        <x:v>3</x:v>
      </x:c>
      <x:c r="P52" s="14" t="n">
        <x:f>J52*K52</x:f>
        <x:v>1499</x:v>
      </x:c>
      <x:c r="Q52" s="14" t="n">
        <x:f>P52*(1-L52)</x:f>
        <x:v>1319.1200000000001</x:v>
      </x:c>
      <x:c r="R52" s="14" t="n">
        <x:f>Q52*(0.24+MOD(ROW(),7)*0.005)</x:f>
        <x:v>336.3756</x:v>
      </x:c>
    </x:row>
    <x:row r="53">
      <x:c r="A53" s="12" t="n">
        <x:v>46135</x:v>
      </x:c>
      <x:c r="B53" t="str">
        <x:v>EC26-0052</x:v>
      </x:c>
      <x:c r="C53" t="str">
        <x:v>Madhya Pradesh</x:v>
      </x:c>
      <x:c r="D53" t="str">
        <x:v>Indore</x:v>
      </x:c>
      <x:c r="E53" t="str">
        <x:v>Electronics</x:v>
      </x:c>
      <x:c r="F53" t="str">
        <x:v>Bluetooth Speaker</x:v>
      </x:c>
      <x:c r="G53" t="str">
        <x:v>Consumer</x:v>
      </x:c>
      <x:c r="H53" t="str">
        <x:v>Mobile App</x:v>
      </x:c>
      <x:c r="I53" t="str">
        <x:v>Wallet</x:v>
      </x:c>
      <x:c r="J53" t="n">
        <x:v>1</x:v>
      </x:c>
      <x:c r="K53" s="14" t="n">
        <x:v>2999</x:v>
      </x:c>
      <x:c r="L53" s="16" t="n">
        <x:v>0.15</x:v>
      </x:c>
      <x:c r="M53" t="str">
        <x:v>Rohan</x:v>
      </x:c>
      <x:c r="N53" t="n">
        <x:v>4</x:v>
      </x:c>
      <x:c r="O53" s="18" t="n">
        <x:v>4</x:v>
      </x:c>
      <x:c r="P53" s="14" t="n">
        <x:f>J53*K53</x:f>
        <x:v>2999</x:v>
      </x:c>
      <x:c r="Q53" s="14" t="n">
        <x:f>P53*(1-L53)</x:f>
        <x:v>2549.15</x:v>
      </x:c>
      <x:c r="R53" s="14" t="n">
        <x:f>Q53*(0.24+MOD(ROW(),7)*0.005)</x:f>
        <x:v>662.779</x:v>
      </x:c>
    </x:row>
    <x:row r="54">
      <x:c r="A54" s="12" t="n">
        <x:v>46307</x:v>
      </x:c>
      <x:c r="B54" t="str">
        <x:v>EC26-0053</x:v>
      </x:c>
      <x:c r="C54" t="str">
        <x:v>Punjab</x:v>
      </x:c>
      <x:c r="D54" t="str">
        <x:v>Ludhiana</x:v>
      </x:c>
      <x:c r="E54" t="str">
        <x:v>Fashion</x:v>
      </x:c>
      <x:c r="F54" t="str">
        <x:v>Sneakers</x:v>
      </x:c>
      <x:c r="G54" t="str">
        <x:v>Consumer</x:v>
      </x:c>
      <x:c r="H54" t="str">
        <x:v>Mobile App</x:v>
      </x:c>
      <x:c r="I54" t="str">
        <x:v>Credit Card</x:v>
      </x:c>
      <x:c r="J54" t="n">
        <x:v>3</x:v>
      </x:c>
      <x:c r="K54" s="14" t="n">
        <x:v>2799</x:v>
      </x:c>
      <x:c r="L54" s="16" t="n">
        <x:v>0</x:v>
      </x:c>
      <x:c r="M54" t="str">
        <x:v>Anaya</x:v>
      </x:c>
      <x:c r="N54" t="n">
        <x:v>2</x:v>
      </x:c>
      <x:c r="O54" s="18" t="n">
        <x:v>4.5</x:v>
      </x:c>
      <x:c r="P54" s="14" t="n">
        <x:f>J54*K54</x:f>
        <x:v>8397</x:v>
      </x:c>
      <x:c r="Q54" s="14" t="n">
        <x:f>P54*(1-L54)</x:f>
        <x:v>8397</x:v>
      </x:c>
      <x:c r="R54" s="14" t="n">
        <x:f>Q54*(0.24+MOD(ROW(),7)*0.005)</x:f>
        <x:v>2225.205</x:v>
      </x:c>
    </x:row>
    <x:row r="55">
      <x:c r="A55" s="12" t="n">
        <x:v>46384</x:v>
      </x:c>
      <x:c r="B55" t="str">
        <x:v>EC26-0054</x:v>
      </x:c>
      <x:c r="C55" t="str">
        <x:v>Telangana</x:v>
      </x:c>
      <x:c r="D55" t="str">
        <x:v>Hyderabad</x:v>
      </x:c>
      <x:c r="E55" t="str">
        <x:v>Electronics</x:v>
      </x:c>
      <x:c r="F55" t="str">
        <x:v>USB-C Hub</x:v>
      </x:c>
      <x:c r="G55" t="str">
        <x:v>Small Business</x:v>
      </x:c>
      <x:c r="H55" t="str">
        <x:v>Marketplace</x:v>
      </x:c>
      <x:c r="I55" t="str">
        <x:v>Wallet</x:v>
      </x:c>
      <x:c r="J55" t="n">
        <x:v>1</x:v>
      </x:c>
      <x:c r="K55" s="14" t="n">
        <x:v>1999</x:v>
      </x:c>
      <x:c r="L55" s="16" t="n">
        <x:v>0.1</x:v>
      </x:c>
      <x:c r="M55" t="str">
        <x:v>Kabir</x:v>
      </x:c>
      <x:c r="N55" t="n">
        <x:v>2</x:v>
      </x:c>
      <x:c r="O55" s="18" t="n">
        <x:v>4</x:v>
      </x:c>
      <x:c r="P55" s="14" t="n">
        <x:f>J55*K55</x:f>
        <x:v>1999</x:v>
      </x:c>
      <x:c r="Q55" s="14" t="n">
        <x:f>P55*(1-L55)</x:f>
        <x:v>1799.1000000000001</x:v>
      </x:c>
      <x:c r="R55" s="14" t="n">
        <x:f>Q55*(0.24+MOD(ROW(),7)*0.005)</x:f>
        <x:v>485.75700000000006</x:v>
      </x:c>
    </x:row>
    <x:row r="56">
      <x:c r="A56" s="12" t="n">
        <x:v>46237</x:v>
      </x:c>
      <x:c r="B56" t="str">
        <x:v>EC26-0055</x:v>
      </x:c>
      <x:c r="C56" t="str">
        <x:v>Maharashtra</x:v>
      </x:c>
      <x:c r="D56" t="str">
        <x:v>Mumbai</x:v>
      </x:c>
      <x:c r="E56" t="str">
        <x:v>Fashion</x:v>
      </x:c>
      <x:c r="F56" t="str">
        <x:v>Sneakers</x:v>
      </x:c>
      <x:c r="G56" t="str">
        <x:v>Corporate</x:v>
      </x:c>
      <x:c r="H56" t="str">
        <x:v>Marketplace</x:v>
      </x:c>
      <x:c r="I56" t="str">
        <x:v>Debit Card</x:v>
      </x:c>
      <x:c r="J56" t="n">
        <x:v>2</x:v>
      </x:c>
      <x:c r="K56" s="14" t="n">
        <x:v>2799</x:v>
      </x:c>
      <x:c r="L56" s="16" t="n">
        <x:v>0.02</x:v>
      </x:c>
      <x:c r="M56" t="str">
        <x:v>Simran</x:v>
      </x:c>
      <x:c r="N56" t="n">
        <x:v>3</x:v>
      </x:c>
      <x:c r="O56" s="18" t="n">
        <x:v>4.5</x:v>
      </x:c>
      <x:c r="P56" s="14" t="n">
        <x:f>J56*K56</x:f>
        <x:v>5598</x:v>
      </x:c>
      <x:c r="Q56" s="14" t="n">
        <x:f>P56*(1-L56)</x:f>
        <x:v>5486.04</x:v>
      </x:c>
      <x:c r="R56" s="14" t="n">
        <x:f>Q56*(0.24+MOD(ROW(),7)*0.005)</x:f>
        <x:v>1316.6496</x:v>
      </x:c>
    </x:row>
    <x:row r="57">
      <x:c r="A57" s="12" t="n">
        <x:v>46153</x:v>
      </x:c>
      <x:c r="B57" t="str">
        <x:v>EC26-0056</x:v>
      </x:c>
      <x:c r="C57" t="str">
        <x:v>West Bengal</x:v>
      </x:c>
      <x:c r="D57" t="str">
        <x:v>Kolkata</x:v>
      </x:c>
      <x:c r="E57" t="str">
        <x:v>Home</x:v>
      </x:c>
      <x:c r="F57" t="str">
        <x:v>LED Lamp</x:v>
      </x:c>
      <x:c r="G57" t="str">
        <x:v>Consumer</x:v>
      </x:c>
      <x:c r="H57" t="str">
        <x:v>Website</x:v>
      </x:c>
      <x:c r="I57" t="str">
        <x:v>COD</x:v>
      </x:c>
      <x:c r="J57" t="n">
        <x:v>1</x:v>
      </x:c>
      <x:c r="K57" s="14" t="n">
        <x:v>899</x:v>
      </x:c>
      <x:c r="L57" s="16" t="n">
        <x:v>0.07</x:v>
      </x:c>
      <x:c r="M57" t="str">
        <x:v>Simran</x:v>
      </x:c>
      <x:c r="N57" t="n">
        <x:v>3</x:v>
      </x:c>
      <x:c r="O57" s="18" t="n">
        <x:v>5</x:v>
      </x:c>
      <x:c r="P57" s="14" t="n">
        <x:f>J57*K57</x:f>
        <x:v>899</x:v>
      </x:c>
      <x:c r="Q57" s="14" t="n">
        <x:f>P57*(1-L57)</x:f>
        <x:v>836.0699999999999</x:v>
      </x:c>
      <x:c r="R57" s="14" t="n">
        <x:f>Q57*(0.24+MOD(ROW(),7)*0.005)</x:f>
        <x:v>204.83714999999998</x:v>
      </x:c>
    </x:row>
    <x:row r="58">
      <x:c r="A58" s="12" t="n">
        <x:v>46124</x:v>
      </x:c>
      <x:c r="B58" t="str">
        <x:v>EC26-0057</x:v>
      </x:c>
      <x:c r="C58" t="str">
        <x:v>Uttar Pradesh</x:v>
      </x:c>
      <x:c r="D58" t="str">
        <x:v>Lucknow</x:v>
      </x:c>
      <x:c r="E58" t="str">
        <x:v>Home</x:v>
      </x:c>
      <x:c r="F58" t="str">
        <x:v>Storage Rack</x:v>
      </x:c>
      <x:c r="G58" t="str">
        <x:v>Corporate</x:v>
      </x:c>
      <x:c r="H58" t="str">
        <x:v>Website</x:v>
      </x:c>
      <x:c r="I58" t="str">
        <x:v>Wallet</x:v>
      </x:c>
      <x:c r="J58" t="n">
        <x:v>3</x:v>
      </x:c>
      <x:c r="K58" s="14" t="n">
        <x:v>2299</x:v>
      </x:c>
      <x:c r="L58" s="16" t="n">
        <x:v>0.07</x:v>
      </x:c>
      <x:c r="M58" t="str">
        <x:v>Aarav</x:v>
      </x:c>
      <x:c r="N58" t="n">
        <x:v>5</x:v>
      </x:c>
      <x:c r="O58" s="18" t="n">
        <x:v>5</x:v>
      </x:c>
      <x:c r="P58" s="14" t="n">
        <x:f>J58*K58</x:f>
        <x:v>6897</x:v>
      </x:c>
      <x:c r="Q58" s="14" t="n">
        <x:f>P58*(1-L58)</x:f>
        <x:v>6414.209999999999</x:v>
      </x:c>
      <x:c r="R58" s="14" t="n">
        <x:f>Q58*(0.24+MOD(ROW(),7)*0.005)</x:f>
        <x:v>1603.5524999999998</x:v>
      </x:c>
    </x:row>
    <x:row r="59">
      <x:c r="A59" s="12" t="n">
        <x:v>46353</x:v>
      </x:c>
      <x:c r="B59" t="str">
        <x:v>EC26-0058</x:v>
      </x:c>
      <x:c r="C59" t="str">
        <x:v>Madhya Pradesh</x:v>
      </x:c>
      <x:c r="D59" t="str">
        <x:v>Indore</x:v>
      </x:c>
      <x:c r="E59" t="str">
        <x:v>Grocery</x:v>
      </x:c>
      <x:c r="F59" t="str">
        <x:v>Healthy Snacks</x:v>
      </x:c>
      <x:c r="G59" t="str">
        <x:v>Corporate</x:v>
      </x:c>
      <x:c r="H59" t="str">
        <x:v>Marketplace</x:v>
      </x:c>
      <x:c r="I59" t="str">
        <x:v>UPI</x:v>
      </x:c>
      <x:c r="J59" t="n">
        <x:v>3</x:v>
      </x:c>
      <x:c r="K59" s="14" t="n">
        <x:v>599</x:v>
      </x:c>
      <x:c r="L59" s="16" t="n">
        <x:v>0.05</x:v>
      </x:c>
      <x:c r="M59" t="str">
        <x:v>Simran</x:v>
      </x:c>
      <x:c r="N59" t="n">
        <x:v>3</x:v>
      </x:c>
      <x:c r="O59" s="18" t="n">
        <x:v>4.5</x:v>
      </x:c>
      <x:c r="P59" s="14" t="n">
        <x:f>J59*K59</x:f>
        <x:v>1797</x:v>
      </x:c>
      <x:c r="Q59" s="14" t="n">
        <x:f>P59*(1-L59)</x:f>
        <x:v>1707.1499999999999</x:v>
      </x:c>
      <x:c r="R59" s="14" t="n">
        <x:f>Q59*(0.24+MOD(ROW(),7)*0.005)</x:f>
        <x:v>435.32325</x:v>
      </x:c>
    </x:row>
    <x:row r="60">
      <x:c r="A60" s="12" t="n">
        <x:v>46207</x:v>
      </x:c>
      <x:c r="B60" t="str">
        <x:v>EC26-0059</x:v>
      </x:c>
      <x:c r="C60" t="str">
        <x:v>Delhi</x:v>
      </x:c>
      <x:c r="D60" t="str">
        <x:v>New Delhi</x:v>
      </x:c>
      <x:c r="E60" t="str">
        <x:v>Electronics</x:v>
      </x:c>
      <x:c r="F60" t="str">
        <x:v>USB-C Hub</x:v>
      </x:c>
      <x:c r="G60" t="str">
        <x:v>Corporate</x:v>
      </x:c>
      <x:c r="H60" t="str">
        <x:v>Marketplace</x:v>
      </x:c>
      <x:c r="I60" t="str">
        <x:v>Wallet</x:v>
      </x:c>
      <x:c r="J60" t="n">
        <x:v>3</x:v>
      </x:c>
      <x:c r="K60" s="14" t="n">
        <x:v>1999</x:v>
      </x:c>
      <x:c r="L60" s="16" t="n">
        <x:v>0.02</x:v>
      </x:c>
      <x:c r="M60" t="str">
        <x:v>Vihaan</x:v>
      </x:c>
      <x:c r="N60" t="n">
        <x:v>4</x:v>
      </x:c>
      <x:c r="O60" s="18" t="n">
        <x:v>5</x:v>
      </x:c>
      <x:c r="P60" s="14" t="n">
        <x:f>J60*K60</x:f>
        <x:v>5997</x:v>
      </x:c>
      <x:c r="Q60" s="14" t="n">
        <x:f>P60*(1-L60)</x:f>
        <x:v>5877.0599999999995</x:v>
      </x:c>
      <x:c r="R60" s="14" t="n">
        <x:f>Q60*(0.24+MOD(ROW(),7)*0.005)</x:f>
        <x:v>1528.0356</x:v>
      </x:c>
    </x:row>
    <x:row r="61">
      <x:c r="A61" s="12" t="n">
        <x:v>46132</x:v>
      </x:c>
      <x:c r="B61" t="str">
        <x:v>EC26-0060</x:v>
      </x:c>
      <x:c r="C61" t="str">
        <x:v>Maharashtra</x:v>
      </x:c>
      <x:c r="D61" t="str">
        <x:v>Mumbai</x:v>
      </x:c>
      <x:c r="E61" t="str">
        <x:v>Beauty</x:v>
      </x:c>
      <x:c r="F61" t="str">
        <x:v>Hair Dryer</x:v>
      </x:c>
      <x:c r="G61" t="str">
        <x:v>Small Business</x:v>
      </x:c>
      <x:c r="H61" t="str">
        <x:v>Website</x:v>
      </x:c>
      <x:c r="I61" t="str">
        <x:v>Wallet</x:v>
      </x:c>
      <x:c r="J61" t="n">
        <x:v>1</x:v>
      </x:c>
      <x:c r="K61" s="14" t="n">
        <x:v>1899</x:v>
      </x:c>
      <x:c r="L61" s="16" t="n">
        <x:v>0.1</x:v>
      </x:c>
      <x:c r="M61" t="str">
        <x:v>Meera</x:v>
      </x:c>
      <x:c r="N61" t="n">
        <x:v>5</x:v>
      </x:c>
      <x:c r="O61" s="18" t="n">
        <x:v>4</x:v>
      </x:c>
      <x:c r="P61" s="14" t="n">
        <x:f>J61*K61</x:f>
        <x:v>1899</x:v>
      </x:c>
      <x:c r="Q61" s="14" t="n">
        <x:f>P61*(1-L61)</x:f>
        <x:v>1709.1000000000001</x:v>
      </x:c>
      <x:c r="R61" s="14" t="n">
        <x:f>Q61*(0.24+MOD(ROW(),7)*0.005)</x:f>
        <x:v>452.91150000000005</x:v>
      </x:c>
    </x:row>
    <x:row r="62">
      <x:c r="A62" s="12" t="n">
        <x:v>46273</x:v>
      </x:c>
      <x:c r="B62" t="str">
        <x:v>EC26-0061</x:v>
      </x:c>
      <x:c r="C62" t="str">
        <x:v>Delhi</x:v>
      </x:c>
      <x:c r="D62" t="str">
        <x:v>New Delhi</x:v>
      </x:c>
      <x:c r="E62" t="str">
        <x:v>Grocery</x:v>
      </x:c>
      <x:c r="F62" t="str">
        <x:v>Green Tea</x:v>
      </x:c>
      <x:c r="G62" t="str">
        <x:v>Corporate</x:v>
      </x:c>
      <x:c r="H62" t="str">
        <x:v>Marketplace</x:v>
      </x:c>
      <x:c r="I62" t="str">
        <x:v>Wallet</x:v>
      </x:c>
      <x:c r="J62" t="n">
        <x:v>1</x:v>
      </x:c>
      <x:c r="K62" s="14" t="n">
        <x:v>499</x:v>
      </x:c>
      <x:c r="L62" s="16" t="n">
        <x:v>0.12</x:v>
      </x:c>
      <x:c r="M62" t="str">
        <x:v>Meera</x:v>
      </x:c>
      <x:c r="N62" t="n">
        <x:v>2</x:v>
      </x:c>
      <x:c r="O62" s="18" t="n">
        <x:v>4.5</x:v>
      </x:c>
      <x:c r="P62" s="14" t="n">
        <x:f>J62*K62</x:f>
        <x:v>499</x:v>
      </x:c>
      <x:c r="Q62" s="14" t="n">
        <x:f>P62*(1-L62)</x:f>
        <x:v>439.12</x:v>
      </x:c>
      <x:c r="R62" s="14" t="n">
        <x:f>Q62*(0.24+MOD(ROW(),7)*0.005)</x:f>
        <x:v>118.56240000000001</x:v>
      </x:c>
    </x:row>
    <x:row r="63">
      <x:c r="A63" s="12" t="n">
        <x:v>46101</x:v>
      </x:c>
      <x:c r="B63" t="str">
        <x:v>EC26-0062</x:v>
      </x:c>
      <x:c r="C63" t="str">
        <x:v>Punjab</x:v>
      </x:c>
      <x:c r="D63" t="str">
        <x:v>Ludhiana</x:v>
      </x:c>
      <x:c r="E63" t="str">
        <x:v>Fashion</x:v>
      </x:c>
      <x:c r="F63" t="str">
        <x:v>Hoodie</x:v>
      </x:c>
      <x:c r="G63" t="str">
        <x:v>Small Business</x:v>
      </x:c>
      <x:c r="H63" t="str">
        <x:v>Marketplace</x:v>
      </x:c>
      <x:c r="I63" t="str">
        <x:v>UPI</x:v>
      </x:c>
      <x:c r="J63" t="n">
        <x:v>3</x:v>
      </x:c>
      <x:c r="K63" s="14" t="n">
        <x:v>1999</x:v>
      </x:c>
      <x:c r="L63" s="16" t="n">
        <x:v>0.15</x:v>
      </x:c>
      <x:c r="M63" t="str">
        <x:v>Aarav</x:v>
      </x:c>
      <x:c r="N63" t="n">
        <x:v>3</x:v>
      </x:c>
      <x:c r="O63" s="18" t="n">
        <x:v>4</x:v>
      </x:c>
      <x:c r="P63" s="14" t="n">
        <x:f>J63*K63</x:f>
        <x:v>5997</x:v>
      </x:c>
      <x:c r="Q63" s="14" t="n">
        <x:f>P63*(1-L63)</x:f>
        <x:v>5097.45</x:v>
      </x:c>
      <x:c r="R63" s="14" t="n">
        <x:f>Q63*(0.24+MOD(ROW(),7)*0.005)</x:f>
        <x:v>1223.388</x:v>
      </x:c>
    </x:row>
    <x:row r="64">
      <x:c r="A64" s="12" t="n">
        <x:v>46114</x:v>
      </x:c>
      <x:c r="B64" t="str">
        <x:v>EC26-0063</x:v>
      </x:c>
      <x:c r="C64" t="str">
        <x:v>Delhi</x:v>
      </x:c>
      <x:c r="D64" t="str">
        <x:v>New Delhi</x:v>
      </x:c>
      <x:c r="E64" t="str">
        <x:v>Home</x:v>
      </x:c>
      <x:c r="F64" t="str">
        <x:v>Storage Rack</x:v>
      </x:c>
      <x:c r="G64" t="str">
        <x:v>Corporate</x:v>
      </x:c>
      <x:c r="H64" t="str">
        <x:v>Website</x:v>
      </x:c>
      <x:c r="I64" t="str">
        <x:v>Credit Card</x:v>
      </x:c>
      <x:c r="J64" t="n">
        <x:v>2</x:v>
      </x:c>
      <x:c r="K64" s="14" t="n">
        <x:v>2299</x:v>
      </x:c>
      <x:c r="L64" s="16" t="n">
        <x:v>0.02</x:v>
      </x:c>
      <x:c r="M64" t="str">
        <x:v>Aarav</x:v>
      </x:c>
      <x:c r="N64" t="n">
        <x:v>4</x:v>
      </x:c>
      <x:c r="O64" s="18" t="n">
        <x:v>4.5</x:v>
      </x:c>
      <x:c r="P64" s="14" t="n">
        <x:f>J64*K64</x:f>
        <x:v>4598</x:v>
      </x:c>
      <x:c r="Q64" s="14" t="n">
        <x:f>P64*(1-L64)</x:f>
        <x:v>4506.04</x:v>
      </x:c>
      <x:c r="R64" s="14" t="n">
        <x:f>Q64*(0.24+MOD(ROW(),7)*0.005)</x:f>
        <x:v>1103.9798</x:v>
      </x:c>
    </x:row>
    <x:row r="65">
      <x:c r="A65" s="12" t="n">
        <x:v>46234</x:v>
      </x:c>
      <x:c r="B65" t="str">
        <x:v>EC26-0064</x:v>
      </x:c>
      <x:c r="C65" t="str">
        <x:v>Madhya Pradesh</x:v>
      </x:c>
      <x:c r="D65" t="str">
        <x:v>Indore</x:v>
      </x:c>
      <x:c r="E65" t="str">
        <x:v>Grocery</x:v>
      </x:c>
      <x:c r="F65" t="str">
        <x:v>Protein Bars</x:v>
      </x:c>
      <x:c r="G65" t="str">
        <x:v>Corporate</x:v>
      </x:c>
      <x:c r="H65" t="str">
        <x:v>Website</x:v>
      </x:c>
      <x:c r="I65" t="str">
        <x:v>Wallet</x:v>
      </x:c>
      <x:c r="J65" t="n">
        <x:v>4</x:v>
      </x:c>
      <x:c r="K65" s="14" t="n">
        <x:v>899</x:v>
      </x:c>
      <x:c r="L65" s="16" t="n">
        <x:v>0</x:v>
      </x:c>
      <x:c r="M65" t="str">
        <x:v>Simran</x:v>
      </x:c>
      <x:c r="N65" t="n">
        <x:v>5</x:v>
      </x:c>
      <x:c r="O65" s="18" t="n">
        <x:v>3.5</x:v>
      </x:c>
      <x:c r="P65" s="14" t="n">
        <x:f>J65*K65</x:f>
        <x:v>3596</x:v>
      </x:c>
      <x:c r="Q65" s="14" t="n">
        <x:f>P65*(1-L65)</x:f>
        <x:v>3596</x:v>
      </x:c>
      <x:c r="R65" s="14" t="n">
        <x:f>Q65*(0.24+MOD(ROW(),7)*0.005)</x:f>
        <x:v>899</x:v>
      </x:c>
    </x:row>
    <x:row r="66">
      <x:c r="A66" s="12" t="n">
        <x:v>46371</x:v>
      </x:c>
      <x:c r="B66" t="str">
        <x:v>EC26-0065</x:v>
      </x:c>
      <x:c r="C66" t="str">
        <x:v>Punjab</x:v>
      </x:c>
      <x:c r="D66" t="str">
        <x:v>Ludhiana</x:v>
      </x:c>
      <x:c r="E66" t="str">
        <x:v>Beauty</x:v>
      </x:c>
      <x:c r="F66" t="str">
        <x:v>Hair Dryer</x:v>
      </x:c>
      <x:c r="G66" t="str">
        <x:v>Small Business</x:v>
      </x:c>
      <x:c r="H66" t="str">
        <x:v>Marketplace</x:v>
      </x:c>
      <x:c r="I66" t="str">
        <x:v>UPI</x:v>
      </x:c>
      <x:c r="J66" t="n">
        <x:v>4</x:v>
      </x:c>
      <x:c r="K66" s="14" t="n">
        <x:v>1899</x:v>
      </x:c>
      <x:c r="L66" s="16" t="n">
        <x:v>0.02</x:v>
      </x:c>
      <x:c r="M66" t="str">
        <x:v>Anaya</x:v>
      </x:c>
      <x:c r="N66" t="n">
        <x:v>1</x:v>
      </x:c>
      <x:c r="O66" s="18" t="n">
        <x:v>3.5</x:v>
      </x:c>
      <x:c r="P66" s="14" t="n">
        <x:f>J66*K66</x:f>
        <x:v>7596</x:v>
      </x:c>
      <x:c r="Q66" s="14" t="n">
        <x:f>P66*(1-L66)</x:f>
        <x:v>7444.08</x:v>
      </x:c>
      <x:c r="R66" s="14" t="n">
        <x:f>Q66*(0.24+MOD(ROW(),7)*0.005)</x:f>
        <x:v>1898.2404</x:v>
      </x:c>
    </x:row>
    <x:row r="67">
      <x:c r="A67" s="12" t="n">
        <x:v>46323</x:v>
      </x:c>
      <x:c r="B67" t="str">
        <x:v>EC26-0066</x:v>
      </x:c>
      <x:c r="C67" t="str">
        <x:v>Punjab</x:v>
      </x:c>
      <x:c r="D67" t="str">
        <x:v>Ludhiana</x:v>
      </x:c>
      <x:c r="E67" t="str">
        <x:v>Home</x:v>
      </x:c>
      <x:c r="F67" t="str">
        <x:v>LED Lamp</x:v>
      </x:c>
      <x:c r="G67" t="str">
        <x:v>Small Business</x:v>
      </x:c>
      <x:c r="H67" t="str">
        <x:v>Website</x:v>
      </x:c>
      <x:c r="I67" t="str">
        <x:v>UPI</x:v>
      </x:c>
      <x:c r="J67" t="n">
        <x:v>3</x:v>
      </x:c>
      <x:c r="K67" s="14" t="n">
        <x:v>899</x:v>
      </x:c>
      <x:c r="L67" s="16" t="n">
        <x:v>0.02</x:v>
      </x:c>
      <x:c r="M67" t="str">
        <x:v>Vihaan</x:v>
      </x:c>
      <x:c r="N67" t="n">
        <x:v>4</x:v>
      </x:c>
      <x:c r="O67" s="18" t="n">
        <x:v>4</x:v>
      </x:c>
      <x:c r="P67" s="14" t="n">
        <x:f>J67*K67</x:f>
        <x:v>2697</x:v>
      </x:c>
      <x:c r="Q67" s="14" t="n">
        <x:f>P67*(1-L67)</x:f>
        <x:v>2643.06</x:v>
      </x:c>
      <x:c r="R67" s="14" t="n">
        <x:f>Q67*(0.24+MOD(ROW(),7)*0.005)</x:f>
        <x:v>687.1956</x:v>
      </x:c>
    </x:row>
    <x:row r="68">
      <x:c r="A68" s="12" t="n">
        <x:v>46110</x:v>
      </x:c>
      <x:c r="B68" t="str">
        <x:v>EC26-0067</x:v>
      </x:c>
      <x:c r="C68" t="str">
        <x:v>Tamil Nadu</x:v>
      </x:c>
      <x:c r="D68" t="str">
        <x:v>Chennai</x:v>
      </x:c>
      <x:c r="E68" t="str">
        <x:v>Fashion</x:v>
      </x:c>
      <x:c r="F68" t="str">
        <x:v>Backpack</x:v>
      </x:c>
      <x:c r="G68" t="str">
        <x:v>Small Business</x:v>
      </x:c>
      <x:c r="H68" t="str">
        <x:v>Mobile App</x:v>
      </x:c>
      <x:c r="I68" t="str">
        <x:v>COD</x:v>
      </x:c>
      <x:c r="J68" t="n">
        <x:v>1</x:v>
      </x:c>
      <x:c r="K68" s="14" t="n">
        <x:v>1799</x:v>
      </x:c>
      <x:c r="L68" s="16" t="n">
        <x:v>0.02</x:v>
      </x:c>
      <x:c r="M68" t="str">
        <x:v>Anaya</x:v>
      </x:c>
      <x:c r="N68" t="n">
        <x:v>5</x:v>
      </x:c>
      <x:c r="O68" s="18" t="n">
        <x:v>4.5</x:v>
      </x:c>
      <x:c r="P68" s="14" t="n">
        <x:f>J68*K68</x:f>
        <x:v>1799</x:v>
      </x:c>
      <x:c r="Q68" s="14" t="n">
        <x:f>P68*(1-L68)</x:f>
        <x:v>1763.02</x:v>
      </x:c>
      <x:c r="R68" s="14" t="n">
        <x:f>Q68*(0.24+MOD(ROW(),7)*0.005)</x:f>
        <x:v>467.2003</x:v>
      </x:c>
    </x:row>
    <x:row r="69">
      <x:c r="A69" s="12" t="n">
        <x:v>46181</x:v>
      </x:c>
      <x:c r="B69" t="str">
        <x:v>EC26-0068</x:v>
      </x:c>
      <x:c r="C69" t="str">
        <x:v>Madhya Pradesh</x:v>
      </x:c>
      <x:c r="D69" t="str">
        <x:v>Indore</x:v>
      </x:c>
      <x:c r="E69" t="str">
        <x:v>Beauty</x:v>
      </x:c>
      <x:c r="F69" t="str">
        <x:v>Makeup Set</x:v>
      </x:c>
      <x:c r="G69" t="str">
        <x:v>Consumer</x:v>
      </x:c>
      <x:c r="H69" t="str">
        <x:v>Marketplace</x:v>
      </x:c>
      <x:c r="I69" t="str">
        <x:v>Credit Card</x:v>
      </x:c>
      <x:c r="J69" t="n">
        <x:v>2</x:v>
      </x:c>
      <x:c r="K69" s="14" t="n">
        <x:v>1599</x:v>
      </x:c>
      <x:c r="L69" s="16" t="n">
        <x:v>0</x:v>
      </x:c>
      <x:c r="M69" t="str">
        <x:v>Ishita</x:v>
      </x:c>
      <x:c r="N69" t="n">
        <x:v>4</x:v>
      </x:c>
      <x:c r="O69" s="18" t="n">
        <x:v>4</x:v>
      </x:c>
      <x:c r="P69" s="14" t="n">
        <x:f>J69*K69</x:f>
        <x:v>3198</x:v>
      </x:c>
      <x:c r="Q69" s="14" t="n">
        <x:f>P69*(1-L69)</x:f>
        <x:v>3198</x:v>
      </x:c>
      <x:c r="R69" s="14" t="n">
        <x:f>Q69*(0.24+MOD(ROW(),7)*0.005)</x:f>
        <x:v>863.46</x:v>
      </x:c>
    </x:row>
    <x:row r="70">
      <x:c r="A70" s="12" t="n">
        <x:v>46370</x:v>
      </x:c>
      <x:c r="B70" t="str">
        <x:v>EC26-0069</x:v>
      </x:c>
      <x:c r="C70" t="str">
        <x:v>Kerala</x:v>
      </x:c>
      <x:c r="D70" t="str">
        <x:v>Kochi</x:v>
      </x:c>
      <x:c r="E70" t="str">
        <x:v>Fashion</x:v>
      </x:c>
      <x:c r="F70" t="str">
        <x:v>Running Shoes</x:v>
      </x:c>
      <x:c r="G70" t="str">
        <x:v>Corporate</x:v>
      </x:c>
      <x:c r="H70" t="str">
        <x:v>Website</x:v>
      </x:c>
      <x:c r="I70" t="str">
        <x:v>COD</x:v>
      </x:c>
      <x:c r="J70" t="n">
        <x:v>1</x:v>
      </x:c>
      <x:c r="K70" s="14" t="n">
        <x:v>3499</x:v>
      </x:c>
      <x:c r="L70" s="16" t="n">
        <x:v>0.12</x:v>
      </x:c>
      <x:c r="M70" t="str">
        <x:v>Aarav</x:v>
      </x:c>
      <x:c r="N70" t="n">
        <x:v>4</x:v>
      </x:c>
      <x:c r="O70" s="18" t="n">
        <x:v>4</x:v>
      </x:c>
      <x:c r="P70" s="14" t="n">
        <x:f>J70*K70</x:f>
        <x:v>3499</x:v>
      </x:c>
      <x:c r="Q70" s="14" t="n">
        <x:f>P70*(1-L70)</x:f>
        <x:v>3079.12</x:v>
      </x:c>
      <x:c r="R70" s="14" t="n">
        <x:f>Q70*(0.24+MOD(ROW(),7)*0.005)</x:f>
        <x:v>738.9888</x:v>
      </x:c>
    </x:row>
    <x:row r="71">
      <x:c r="A71" s="12" t="n">
        <x:v>46347</x:v>
      </x:c>
      <x:c r="B71" t="str">
        <x:v>EC26-0070</x:v>
      </x:c>
      <x:c r="C71" t="str">
        <x:v>Telangana</x:v>
      </x:c>
      <x:c r="D71" t="str">
        <x:v>Hyderabad</x:v>
      </x:c>
      <x:c r="E71" t="str">
        <x:v>Home</x:v>
      </x:c>
      <x:c r="F71" t="str">
        <x:v>LED Lamp</x:v>
      </x:c>
      <x:c r="G71" t="str">
        <x:v>Small Business</x:v>
      </x:c>
      <x:c r="H71" t="str">
        <x:v>Mobile App</x:v>
      </x:c>
      <x:c r="I71" t="str">
        <x:v>Debit Card</x:v>
      </x:c>
      <x:c r="J71" t="n">
        <x:v>1</x:v>
      </x:c>
      <x:c r="K71" s="14" t="n">
        <x:v>899</x:v>
      </x:c>
      <x:c r="L71" s="16" t="n">
        <x:v>0.07</x:v>
      </x:c>
      <x:c r="M71" t="str">
        <x:v>Simran</x:v>
      </x:c>
      <x:c r="N71" t="n">
        <x:v>3</x:v>
      </x:c>
      <x:c r="O71" s="18" t="n">
        <x:v>3.5</x:v>
      </x:c>
      <x:c r="P71" s="14" t="n">
        <x:f>J71*K71</x:f>
        <x:v>899</x:v>
      </x:c>
      <x:c r="Q71" s="14" t="n">
        <x:f>P71*(1-L71)</x:f>
        <x:v>836.0699999999999</x:v>
      </x:c>
      <x:c r="R71" s="14" t="n">
        <x:f>Q71*(0.24+MOD(ROW(),7)*0.005)</x:f>
        <x:v>204.83714999999998</x:v>
      </x:c>
    </x:row>
    <x:row r="72">
      <x:c r="A72" s="12" t="n">
        <x:v>46096</x:v>
      </x:c>
      <x:c r="B72" t="str">
        <x:v>EC26-0071</x:v>
      </x:c>
      <x:c r="C72" t="str">
        <x:v>Rajasthan</x:v>
      </x:c>
      <x:c r="D72" t="str">
        <x:v>Jaipur</x:v>
      </x:c>
      <x:c r="E72" t="str">
        <x:v>Fashion</x:v>
      </x:c>
      <x:c r="F72" t="str">
        <x:v>Denim Jacket</x:v>
      </x:c>
      <x:c r="G72" t="str">
        <x:v>Small Business</x:v>
      </x:c>
      <x:c r="H72" t="str">
        <x:v>Marketplace</x:v>
      </x:c>
      <x:c r="I72" t="str">
        <x:v>UPI</x:v>
      </x:c>
      <x:c r="J72" t="n">
        <x:v>2</x:v>
      </x:c>
      <x:c r="K72" s="14" t="n">
        <x:v>2999</x:v>
      </x:c>
      <x:c r="L72" s="16" t="n">
        <x:v>0.1</x:v>
      </x:c>
      <x:c r="M72" t="str">
        <x:v>Simran</x:v>
      </x:c>
      <x:c r="N72" t="n">
        <x:v>4</x:v>
      </x:c>
      <x:c r="O72" s="18" t="n">
        <x:v>5</x:v>
      </x:c>
      <x:c r="P72" s="14" t="n">
        <x:f>J72*K72</x:f>
        <x:v>5998</x:v>
      </x:c>
      <x:c r="Q72" s="14" t="n">
        <x:f>P72*(1-L72)</x:f>
        <x:v>5398.2</x:v>
      </x:c>
      <x:c r="R72" s="14" t="n">
        <x:f>Q72*(0.24+MOD(ROW(),7)*0.005)</x:f>
        <x:v>1349.55</x:v>
      </x:c>
    </x:row>
    <x:row r="73">
      <x:c r="A73" s="12" t="n">
        <x:v>46063</x:v>
      </x:c>
      <x:c r="B73" t="str">
        <x:v>EC26-0072</x:v>
      </x:c>
      <x:c r="C73" t="str">
        <x:v>West Bengal</x:v>
      </x:c>
      <x:c r="D73" t="str">
        <x:v>Kolkata</x:v>
      </x:c>
      <x:c r="E73" t="str">
        <x:v>Beauty</x:v>
      </x:c>
      <x:c r="F73" t="str">
        <x:v>Skincare Kit</x:v>
      </x:c>
      <x:c r="G73" t="str">
        <x:v>Small Business</x:v>
      </x:c>
      <x:c r="H73" t="str">
        <x:v>Marketplace</x:v>
      </x:c>
      <x:c r="I73" t="str">
        <x:v>UPI</x:v>
      </x:c>
      <x:c r="J73" t="n">
        <x:v>2</x:v>
      </x:c>
      <x:c r="K73" s="14" t="n">
        <x:v>1299</x:v>
      </x:c>
      <x:c r="L73" s="16" t="n">
        <x:v>0.15</x:v>
      </x:c>
      <x:c r="M73" t="str">
        <x:v>Rohan</x:v>
      </x:c>
      <x:c r="N73" t="n">
        <x:v>3</x:v>
      </x:c>
      <x:c r="O73" s="18" t="n">
        <x:v>3.5</x:v>
      </x:c>
      <x:c r="P73" s="14" t="n">
        <x:f>J73*K73</x:f>
        <x:v>2598</x:v>
      </x:c>
      <x:c r="Q73" s="14" t="n">
        <x:f>P73*(1-L73)</x:f>
        <x:v>2208.2999999999997</x:v>
      </x:c>
      <x:c r="R73" s="14" t="n">
        <x:f>Q73*(0.24+MOD(ROW(),7)*0.005)</x:f>
        <x:v>563.1165</x:v>
      </x:c>
    </x:row>
    <x:row r="74">
      <x:c r="A74" s="12" t="n">
        <x:v>46044</x:v>
      </x:c>
      <x:c r="B74" t="str">
        <x:v>EC26-0073</x:v>
      </x:c>
      <x:c r="C74" t="str">
        <x:v>Karnataka</x:v>
      </x:c>
      <x:c r="D74" t="str">
        <x:v>Bengaluru</x:v>
      </x:c>
      <x:c r="E74" t="str">
        <x:v>Grocery</x:v>
      </x:c>
      <x:c r="F74" t="str">
        <x:v>Protein Bars</x:v>
      </x:c>
      <x:c r="G74" t="str">
        <x:v>Small Business</x:v>
      </x:c>
      <x:c r="H74" t="str">
        <x:v>Marketplace</x:v>
      </x:c>
      <x:c r="I74" t="str">
        <x:v>COD</x:v>
      </x:c>
      <x:c r="J74" t="n">
        <x:v>2</x:v>
      </x:c>
      <x:c r="K74" s="14" t="n">
        <x:v>899</x:v>
      </x:c>
      <x:c r="L74" s="16" t="n">
        <x:v>0.07</x:v>
      </x:c>
      <x:c r="M74" t="str">
        <x:v>Anaya</x:v>
      </x:c>
      <x:c r="N74" t="n">
        <x:v>4</x:v>
      </x:c>
      <x:c r="O74" s="18" t="n">
        <x:v>4</x:v>
      </x:c>
      <x:c r="P74" s="14" t="n">
        <x:f>J74*K74</x:f>
        <x:v>1798</x:v>
      </x:c>
      <x:c r="Q74" s="14" t="n">
        <x:f>P74*(1-L74)</x:f>
        <x:v>1672.1399999999999</x:v>
      </x:c>
      <x:c r="R74" s="14" t="n">
        <x:f>Q74*(0.24+MOD(ROW(),7)*0.005)</x:f>
        <x:v>434.7564</x:v>
      </x:c>
    </x:row>
    <x:row r="75">
      <x:c r="A75" s="12" t="n">
        <x:v>46186</x:v>
      </x:c>
      <x:c r="B75" t="str">
        <x:v>EC26-0074</x:v>
      </x:c>
      <x:c r="C75" t="str">
        <x:v>Delhi</x:v>
      </x:c>
      <x:c r="D75" t="str">
        <x:v>New Delhi</x:v>
      </x:c>
      <x:c r="E75" t="str">
        <x:v>Electronics</x:v>
      </x:c>
      <x:c r="F75" t="str">
        <x:v>Wireless Earbuds</x:v>
      </x:c>
      <x:c r="G75" t="str">
        <x:v>Small Business</x:v>
      </x:c>
      <x:c r="H75" t="str">
        <x:v>Mobile App</x:v>
      </x:c>
      <x:c r="I75" t="str">
        <x:v>UPI</x:v>
      </x:c>
      <x:c r="J75" t="n">
        <x:v>1</x:v>
      </x:c>
      <x:c r="K75" s="14" t="n">
        <x:v>2499</x:v>
      </x:c>
      <x:c r="L75" s="16" t="n">
        <x:v>0.02</x:v>
      </x:c>
      <x:c r="M75" t="str">
        <x:v>Aarav</x:v>
      </x:c>
      <x:c r="N75" t="n">
        <x:v>4</x:v>
      </x:c>
      <x:c r="O75" s="18" t="n">
        <x:v>3.5</x:v>
      </x:c>
      <x:c r="P75" s="14" t="n">
        <x:f>J75*K75</x:f>
        <x:v>2499</x:v>
      </x:c>
      <x:c r="Q75" s="14" t="n">
        <x:f>P75*(1-L75)</x:f>
        <x:v>2449.02</x:v>
      </x:c>
      <x:c r="R75" s="14" t="n">
        <x:f>Q75*(0.24+MOD(ROW(),7)*0.005)</x:f>
        <x:v>648.9903</x:v>
      </x:c>
    </x:row>
    <x:row r="76">
      <x:c r="A76" s="12" t="n">
        <x:v>46331</x:v>
      </x:c>
      <x:c r="B76" t="str">
        <x:v>EC26-0075</x:v>
      </x:c>
      <x:c r="C76" t="str">
        <x:v>Rajasthan</x:v>
      </x:c>
      <x:c r="D76" t="str">
        <x:v>Jaipur</x:v>
      </x:c>
      <x:c r="E76" t="str">
        <x:v>Electronics</x:v>
      </x:c>
      <x:c r="F76" t="str">
        <x:v>Bluetooth Speaker</x:v>
      </x:c>
      <x:c r="G76" t="str">
        <x:v>Corporate</x:v>
      </x:c>
      <x:c r="H76" t="str">
        <x:v>Website</x:v>
      </x:c>
      <x:c r="I76" t="str">
        <x:v>Debit Card</x:v>
      </x:c>
      <x:c r="J76" t="n">
        <x:v>2</x:v>
      </x:c>
      <x:c r="K76" s="14" t="n">
        <x:v>2999</x:v>
      </x:c>
      <x:c r="L76" s="16" t="n">
        <x:v>0.05</x:v>
      </x:c>
      <x:c r="M76" t="str">
        <x:v>Anaya</x:v>
      </x:c>
      <x:c r="N76" t="n">
        <x:v>4</x:v>
      </x:c>
      <x:c r="O76" s="18" t="n">
        <x:v>4</x:v>
      </x:c>
      <x:c r="P76" s="14" t="n">
        <x:f>J76*K76</x:f>
        <x:v>5998</x:v>
      </x:c>
      <x:c r="Q76" s="14" t="n">
        <x:f>P76*(1-L76)</x:f>
        <x:v>5698.099999999999</x:v>
      </x:c>
      <x:c r="R76" s="14" t="n">
        <x:f>Q76*(0.24+MOD(ROW(),7)*0.005)</x:f>
        <x:v>1538.4869999999999</x:v>
      </x:c>
    </x:row>
    <x:row r="77">
      <x:c r="A77" s="12" t="n">
        <x:v>46286</x:v>
      </x:c>
      <x:c r="B77" t="str">
        <x:v>EC26-0076</x:v>
      </x:c>
      <x:c r="C77" t="str">
        <x:v>Uttar Pradesh</x:v>
      </x:c>
      <x:c r="D77" t="str">
        <x:v>Lucknow</x:v>
      </x:c>
      <x:c r="E77" t="str">
        <x:v>Beauty</x:v>
      </x:c>
      <x:c r="F77" t="str">
        <x:v>Face Serum</x:v>
      </x:c>
      <x:c r="G77" t="str">
        <x:v>Consumer</x:v>
      </x:c>
      <x:c r="H77" t="str">
        <x:v>Mobile App</x:v>
      </x:c>
      <x:c r="I77" t="str">
        <x:v>Credit Card</x:v>
      </x:c>
      <x:c r="J77" t="n">
        <x:v>2</x:v>
      </x:c>
      <x:c r="K77" s="14" t="n">
        <x:v>799</x:v>
      </x:c>
      <x:c r="L77" s="16" t="n">
        <x:v>0.1</x:v>
      </x:c>
      <x:c r="M77" t="str">
        <x:v>Ishita</x:v>
      </x:c>
      <x:c r="N77" t="n">
        <x:v>4</x:v>
      </x:c>
      <x:c r="O77" s="18" t="n">
        <x:v>4.5</x:v>
      </x:c>
      <x:c r="P77" s="14" t="n">
        <x:f>J77*K77</x:f>
        <x:v>1598</x:v>
      </x:c>
      <x:c r="Q77" s="14" t="n">
        <x:f>P77*(1-L77)</x:f>
        <x:v>1438.2</x:v>
      </x:c>
      <x:c r="R77" s="14" t="n">
        <x:f>Q77*(0.24+MOD(ROW(),7)*0.005)</x:f>
        <x:v>345.168</x:v>
      </x:c>
    </x:row>
    <x:row r="78">
      <x:c r="A78" s="12" t="n">
        <x:v>46270</x:v>
      </x:c>
      <x:c r="B78" t="str">
        <x:v>EC26-0077</x:v>
      </x:c>
      <x:c r="C78" t="str">
        <x:v>Rajasthan</x:v>
      </x:c>
      <x:c r="D78" t="str">
        <x:v>Jaipur</x:v>
      </x:c>
      <x:c r="E78" t="str">
        <x:v>Electronics</x:v>
      </x:c>
      <x:c r="F78" t="str">
        <x:v>Power Bank</x:v>
      </x:c>
      <x:c r="G78" t="str">
        <x:v>Small Business</x:v>
      </x:c>
      <x:c r="H78" t="str">
        <x:v>Website</x:v>
      </x:c>
      <x:c r="I78" t="str">
        <x:v>Wallet</x:v>
      </x:c>
      <x:c r="J78" t="n">
        <x:v>4</x:v>
      </x:c>
      <x:c r="K78" s="14" t="n">
        <x:v>1499</x:v>
      </x:c>
      <x:c r="L78" s="16" t="n">
        <x:v>0.07</x:v>
      </x:c>
      <x:c r="M78" t="str">
        <x:v>Anaya</x:v>
      </x:c>
      <x:c r="N78" t="n">
        <x:v>5</x:v>
      </x:c>
      <x:c r="O78" s="18" t="n">
        <x:v>4</x:v>
      </x:c>
      <x:c r="P78" s="14" t="n">
        <x:f>J78*K78</x:f>
        <x:v>5996</x:v>
      </x:c>
      <x:c r="Q78" s="14" t="n">
        <x:f>P78*(1-L78)</x:f>
        <x:v>5576.28</x:v>
      </x:c>
      <x:c r="R78" s="14" t="n">
        <x:f>Q78*(0.24+MOD(ROW(),7)*0.005)</x:f>
        <x:v>1366.1886</x:v>
      </x:c>
    </x:row>
    <x:row r="79">
      <x:c r="A79" s="12" t="n">
        <x:v>46289</x:v>
      </x:c>
      <x:c r="B79" t="str">
        <x:v>EC26-0078</x:v>
      </x:c>
      <x:c r="C79" t="str">
        <x:v>Uttar Pradesh</x:v>
      </x:c>
      <x:c r="D79" t="str">
        <x:v>Lucknow</x:v>
      </x:c>
      <x:c r="E79" t="str">
        <x:v>Home</x:v>
      </x:c>
      <x:c r="F79" t="str">
        <x:v>Coffee Maker</x:v>
      </x:c>
      <x:c r="G79" t="str">
        <x:v>Consumer</x:v>
      </x:c>
      <x:c r="H79" t="str">
        <x:v>Mobile App</x:v>
      </x:c>
      <x:c r="I79" t="str">
        <x:v>Wallet</x:v>
      </x:c>
      <x:c r="J79" t="n">
        <x:v>3</x:v>
      </x:c>
      <x:c r="K79" s="14" t="n">
        <x:v>4499</x:v>
      </x:c>
      <x:c r="L79" s="16" t="n">
        <x:v>0.1</x:v>
      </x:c>
      <x:c r="M79" t="str">
        <x:v>Kabir</x:v>
      </x:c>
      <x:c r="N79" t="n">
        <x:v>6</x:v>
      </x:c>
      <x:c r="O79" s="18" t="n">
        <x:v>3.5</x:v>
      </x:c>
      <x:c r="P79" s="14" t="n">
        <x:f>J79*K79</x:f>
        <x:v>13497</x:v>
      </x:c>
      <x:c r="Q79" s="14" t="n">
        <x:f>P79*(1-L79)</x:f>
        <x:v>12147.300000000001</x:v>
      </x:c>
      <x:c r="R79" s="14" t="n">
        <x:f>Q79*(0.24+MOD(ROW(),7)*0.005)</x:f>
        <x:v>3036.8250000000003</x:v>
      </x:c>
    </x:row>
    <x:row r="80">
      <x:c r="A80" s="12" t="n">
        <x:v>46211</x:v>
      </x:c>
      <x:c r="B80" t="str">
        <x:v>EC26-0079</x:v>
      </x:c>
      <x:c r="C80" t="str">
        <x:v>Tamil Nadu</x:v>
      </x:c>
      <x:c r="D80" t="str">
        <x:v>Chennai</x:v>
      </x:c>
      <x:c r="E80" t="str">
        <x:v>Grocery</x:v>
      </x:c>
      <x:c r="F80" t="str">
        <x:v>Dry Fruits Pack</x:v>
      </x:c>
      <x:c r="G80" t="str">
        <x:v>Corporate</x:v>
      </x:c>
      <x:c r="H80" t="str">
        <x:v>Website</x:v>
      </x:c>
      <x:c r="I80" t="str">
        <x:v>UPI</x:v>
      </x:c>
      <x:c r="J80" t="n">
        <x:v>2</x:v>
      </x:c>
      <x:c r="K80" s="14" t="n">
        <x:v>999</x:v>
      </x:c>
      <x:c r="L80" s="16" t="n">
        <x:v>0.07</x:v>
      </x:c>
      <x:c r="M80" t="str">
        <x:v>Vihaan</x:v>
      </x:c>
      <x:c r="N80" t="n">
        <x:v>3</x:v>
      </x:c>
      <x:c r="O80" s="18" t="n">
        <x:v>3</x:v>
      </x:c>
      <x:c r="P80" s="14" t="n">
        <x:f>J80*K80</x:f>
        <x:v>1998</x:v>
      </x:c>
      <x:c r="Q80" s="14" t="n">
        <x:f>P80*(1-L80)</x:f>
        <x:v>1858.1399999999999</x:v>
      </x:c>
      <x:c r="R80" s="14" t="n">
        <x:f>Q80*(0.24+MOD(ROW(),7)*0.005)</x:f>
        <x:v>473.8257</x:v>
      </x:c>
    </x:row>
    <x:row r="81">
      <x:c r="A81" s="12" t="n">
        <x:v>46123</x:v>
      </x:c>
      <x:c r="B81" t="str">
        <x:v>EC26-0080</x:v>
      </x:c>
      <x:c r="C81" t="str">
        <x:v>Maharashtra</x:v>
      </x:c>
      <x:c r="D81" t="str">
        <x:v>Mumbai</x:v>
      </x:c>
      <x:c r="E81" t="str">
        <x:v>Home</x:v>
      </x:c>
      <x:c r="F81" t="str">
        <x:v>Bedsheet Set</x:v>
      </x:c>
      <x:c r="G81" t="str">
        <x:v>Consumer</x:v>
      </x:c>
      <x:c r="H81" t="str">
        <x:v>Mobile App</x:v>
      </x:c>
      <x:c r="I81" t="str">
        <x:v>Credit Card</x:v>
      </x:c>
      <x:c r="J81" t="n">
        <x:v>2</x:v>
      </x:c>
      <x:c r="K81" s="14" t="n">
        <x:v>1499</x:v>
      </x:c>
      <x:c r="L81" s="16" t="n">
        <x:v>0.05</x:v>
      </x:c>
      <x:c r="M81" t="str">
        <x:v>Aarav</x:v>
      </x:c>
      <x:c r="N81" t="n">
        <x:v>2</x:v>
      </x:c>
      <x:c r="O81" s="18" t="n">
        <x:v>5</x:v>
      </x:c>
      <x:c r="P81" s="14" t="n">
        <x:f>J81*K81</x:f>
        <x:v>2998</x:v>
      </x:c>
      <x:c r="Q81" s="14" t="n">
        <x:f>P81*(1-L81)</x:f>
        <x:v>2848.1</x:v>
      </x:c>
      <x:c r="R81" s="14" t="n">
        <x:f>Q81*(0.24+MOD(ROW(),7)*0.005)</x:f>
        <x:v>740.506</x:v>
      </x:c>
    </x:row>
    <x:row r="82">
      <x:c r="A82" s="12" t="n">
        <x:v>46387</x:v>
      </x:c>
      <x:c r="B82" t="str">
        <x:v>EC26-0081</x:v>
      </x:c>
      <x:c r="C82" t="str">
        <x:v>Rajasthan</x:v>
      </x:c>
      <x:c r="D82" t="str">
        <x:v>Jaipur</x:v>
      </x:c>
      <x:c r="E82" t="str">
        <x:v>Electronics</x:v>
      </x:c>
      <x:c r="F82" t="str">
        <x:v>Power Bank</x:v>
      </x:c>
      <x:c r="G82" t="str">
        <x:v>Corporate</x:v>
      </x:c>
      <x:c r="H82" t="str">
        <x:v>Marketplace</x:v>
      </x:c>
      <x:c r="I82" t="str">
        <x:v>COD</x:v>
      </x:c>
      <x:c r="J82" t="n">
        <x:v>2</x:v>
      </x:c>
      <x:c r="K82" s="14" t="n">
        <x:v>1499</x:v>
      </x:c>
      <x:c r="L82" s="16" t="n">
        <x:v>0</x:v>
      </x:c>
      <x:c r="M82" t="str">
        <x:v>Aarav</x:v>
      </x:c>
      <x:c r="N82" t="n">
        <x:v>6</x:v>
      </x:c>
      <x:c r="O82" s="18" t="n">
        <x:v>5</x:v>
      </x:c>
      <x:c r="P82" s="14" t="n">
        <x:f>J82*K82</x:f>
        <x:v>2998</x:v>
      </x:c>
      <x:c r="Q82" s="14" t="n">
        <x:f>P82*(1-L82)</x:f>
        <x:v>2998</x:v>
      </x:c>
      <x:c r="R82" s="14" t="n">
        <x:f>Q82*(0.24+MOD(ROW(),7)*0.005)</x:f>
        <x:v>794.47</x:v>
      </x:c>
    </x:row>
    <x:row r="83">
      <x:c r="A83" s="12" t="n">
        <x:v>46120</x:v>
      </x:c>
      <x:c r="B83" t="str">
        <x:v>EC26-0082</x:v>
      </x:c>
      <x:c r="C83" t="str">
        <x:v>Madhya Pradesh</x:v>
      </x:c>
      <x:c r="D83" t="str">
        <x:v>Indore</x:v>
      </x:c>
      <x:c r="E83" t="str">
        <x:v>Beauty</x:v>
      </x:c>
      <x:c r="F83" t="str">
        <x:v>Face Serum</x:v>
      </x:c>
      <x:c r="G83" t="str">
        <x:v>Small Business</x:v>
      </x:c>
      <x:c r="H83" t="str">
        <x:v>Website</x:v>
      </x:c>
      <x:c r="I83" t="str">
        <x:v>Debit Card</x:v>
      </x:c>
      <x:c r="J83" t="n">
        <x:v>1</x:v>
      </x:c>
      <x:c r="K83" s="14" t="n">
        <x:v>799</x:v>
      </x:c>
      <x:c r="L83" s="16" t="n">
        <x:v>0.02</x:v>
      </x:c>
      <x:c r="M83" t="str">
        <x:v>Meera</x:v>
      </x:c>
      <x:c r="N83" t="n">
        <x:v>1</x:v>
      </x:c>
      <x:c r="O83" s="18" t="n">
        <x:v>4.5</x:v>
      </x:c>
      <x:c r="P83" s="14" t="n">
        <x:f>J83*K83</x:f>
        <x:v>799</x:v>
      </x:c>
      <x:c r="Q83" s="14" t="n">
        <x:f>P83*(1-L83)</x:f>
        <x:v>783.02</x:v>
      </x:c>
      <x:c r="R83" s="14" t="n">
        <x:f>Q83*(0.24+MOD(ROW(),7)*0.005)</x:f>
        <x:v>211.4154</x:v>
      </x:c>
    </x:row>
    <x:row r="84">
      <x:c r="A84" s="12" t="n">
        <x:v>46045</x:v>
      </x:c>
      <x:c r="B84" t="str">
        <x:v>EC26-0083</x:v>
      </x:c>
      <x:c r="C84" t="str">
        <x:v>West Bengal</x:v>
      </x:c>
      <x:c r="D84" t="str">
        <x:v>Kolkata</x:v>
      </x:c>
      <x:c r="E84" t="str">
        <x:v>Home</x:v>
      </x:c>
      <x:c r="F84" t="str">
        <x:v>Air Fryer</x:v>
      </x:c>
      <x:c r="G84" t="str">
        <x:v>Small Business</x:v>
      </x:c>
      <x:c r="H84" t="str">
        <x:v>Website</x:v>
      </x:c>
      <x:c r="I84" t="str">
        <x:v>Wallet</x:v>
      </x:c>
      <x:c r="J84" t="n">
        <x:v>3</x:v>
      </x:c>
      <x:c r="K84" s="14" t="n">
        <x:v>5999</x:v>
      </x:c>
      <x:c r="L84" s="16" t="n">
        <x:v>0.12</x:v>
      </x:c>
      <x:c r="M84" t="str">
        <x:v>Meera</x:v>
      </x:c>
      <x:c r="N84" t="n">
        <x:v>3</x:v>
      </x:c>
      <x:c r="O84" s="18" t="n">
        <x:v>3.5</x:v>
      </x:c>
      <x:c r="P84" s="14" t="n">
        <x:f>J84*K84</x:f>
        <x:v>17997</x:v>
      </x:c>
      <x:c r="Q84" s="14" t="n">
        <x:f>P84*(1-L84)</x:f>
        <x:v>15837.36</x:v>
      </x:c>
      <x:c r="R84" s="14" t="n">
        <x:f>Q84*(0.24+MOD(ROW(),7)*0.005)</x:f>
        <x:v>3800.9664</x:v>
      </x:c>
    </x:row>
    <x:row r="85">
      <x:c r="A85" s="12" t="n">
        <x:v>46203</x:v>
      </x:c>
      <x:c r="B85" t="str">
        <x:v>EC26-0084</x:v>
      </x:c>
      <x:c r="C85" t="str">
        <x:v>Tamil Nadu</x:v>
      </x:c>
      <x:c r="D85" t="str">
        <x:v>Chennai</x:v>
      </x:c>
      <x:c r="E85" t="str">
        <x:v>Grocery</x:v>
      </x:c>
      <x:c r="F85" t="str">
        <x:v>Protein Bars</x:v>
      </x:c>
      <x:c r="G85" t="str">
        <x:v>Consumer</x:v>
      </x:c>
      <x:c r="H85" t="str">
        <x:v>Website</x:v>
      </x:c>
      <x:c r="I85" t="str">
        <x:v>COD</x:v>
      </x:c>
      <x:c r="J85" t="n">
        <x:v>2</x:v>
      </x:c>
      <x:c r="K85" s="14" t="n">
        <x:v>899</x:v>
      </x:c>
      <x:c r="L85" s="16" t="n">
        <x:v>0.02</x:v>
      </x:c>
      <x:c r="M85" t="str">
        <x:v>Vihaan</x:v>
      </x:c>
      <x:c r="N85" t="n">
        <x:v>4</x:v>
      </x:c>
      <x:c r="O85" s="18" t="n">
        <x:v>4.5</x:v>
      </x:c>
      <x:c r="P85" s="14" t="n">
        <x:f>J85*K85</x:f>
        <x:v>1798</x:v>
      </x:c>
      <x:c r="Q85" s="14" t="n">
        <x:f>P85*(1-L85)</x:f>
        <x:v>1762.04</x:v>
      </x:c>
      <x:c r="R85" s="14" t="n">
        <x:f>Q85*(0.24+MOD(ROW(),7)*0.005)</x:f>
        <x:v>431.6998</x:v>
      </x:c>
    </x:row>
    <x:row r="86">
      <x:c r="A86" s="12" t="n">
        <x:v>46341</x:v>
      </x:c>
      <x:c r="B86" t="str">
        <x:v>EC26-0085</x:v>
      </x:c>
      <x:c r="C86" t="str">
        <x:v>Delhi</x:v>
      </x:c>
      <x:c r="D86" t="str">
        <x:v>New Delhi</x:v>
      </x:c>
      <x:c r="E86" t="str">
        <x:v>Fashion</x:v>
      </x:c>
      <x:c r="F86" t="str">
        <x:v>Hoodie</x:v>
      </x:c>
      <x:c r="G86" t="str">
        <x:v>Small Business</x:v>
      </x:c>
      <x:c r="H86" t="str">
        <x:v>Mobile App</x:v>
      </x:c>
      <x:c r="I86" t="str">
        <x:v>COD</x:v>
      </x:c>
      <x:c r="J86" t="n">
        <x:v>1</x:v>
      </x:c>
      <x:c r="K86" s="14" t="n">
        <x:v>1999</x:v>
      </x:c>
      <x:c r="L86" s="16" t="n">
        <x:v>0.02</x:v>
      </x:c>
      <x:c r="M86" t="str">
        <x:v>Rohan</x:v>
      </x:c>
      <x:c r="N86" t="n">
        <x:v>6</x:v>
      </x:c>
      <x:c r="O86" s="18" t="n">
        <x:v>4.5</x:v>
      </x:c>
      <x:c r="P86" s="14" t="n">
        <x:f>J86*K86</x:f>
        <x:v>1999</x:v>
      </x:c>
      <x:c r="Q86" s="14" t="n">
        <x:f>P86*(1-L86)</x:f>
        <x:v>1959.02</x:v>
      </x:c>
      <x:c r="R86" s="14" t="n">
        <x:f>Q86*(0.24+MOD(ROW(),7)*0.005)</x:f>
        <x:v>489.755</x:v>
      </x:c>
    </x:row>
    <x:row r="87">
      <x:c r="A87" s="12" t="n">
        <x:v>46262</x:v>
      </x:c>
      <x:c r="B87" t="str">
        <x:v>EC26-0086</x:v>
      </x:c>
      <x:c r="C87" t="str">
        <x:v>Karnataka</x:v>
      </x:c>
      <x:c r="D87" t="str">
        <x:v>Bengaluru</x:v>
      </x:c>
      <x:c r="E87" t="str">
        <x:v>Electronics</x:v>
      </x:c>
      <x:c r="F87" t="str">
        <x:v>Bluetooth Speaker</x:v>
      </x:c>
      <x:c r="G87" t="str">
        <x:v>Consumer</x:v>
      </x:c>
      <x:c r="H87" t="str">
        <x:v>Marketplace</x:v>
      </x:c>
      <x:c r="I87" t="str">
        <x:v>Wallet</x:v>
      </x:c>
      <x:c r="J87" t="n">
        <x:v>1</x:v>
      </x:c>
      <x:c r="K87" s="14" t="n">
        <x:v>2999</x:v>
      </x:c>
      <x:c r="L87" s="16" t="n">
        <x:v>0.15</x:v>
      </x:c>
      <x:c r="M87" t="str">
        <x:v>Meera</x:v>
      </x:c>
      <x:c r="N87" t="n">
        <x:v>5</x:v>
      </x:c>
      <x:c r="O87" s="18" t="n">
        <x:v>4.5</x:v>
      </x:c>
      <x:c r="P87" s="14" t="n">
        <x:f>J87*K87</x:f>
        <x:v>2999</x:v>
      </x:c>
      <x:c r="Q87" s="14" t="n">
        <x:f>P87*(1-L87)</x:f>
        <x:v>2549.15</x:v>
      </x:c>
      <x:c r="R87" s="14" t="n">
        <x:f>Q87*(0.24+MOD(ROW(),7)*0.005)</x:f>
        <x:v>650.0332500000001</x:v>
      </x:c>
    </x:row>
    <x:row r="88">
      <x:c r="A88" s="12" t="n">
        <x:v>46378</x:v>
      </x:c>
      <x:c r="B88" t="str">
        <x:v>EC26-0087</x:v>
      </x:c>
      <x:c r="C88" t="str">
        <x:v>Delhi</x:v>
      </x:c>
      <x:c r="D88" t="str">
        <x:v>New Delhi</x:v>
      </x:c>
      <x:c r="E88" t="str">
        <x:v>Home</x:v>
      </x:c>
      <x:c r="F88" t="str">
        <x:v>Bedsheet Set</x:v>
      </x:c>
      <x:c r="G88" t="str">
        <x:v>Consumer</x:v>
      </x:c>
      <x:c r="H88" t="str">
        <x:v>Website</x:v>
      </x:c>
      <x:c r="I88" t="str">
        <x:v>COD</x:v>
      </x:c>
      <x:c r="J88" t="n">
        <x:v>2</x:v>
      </x:c>
      <x:c r="K88" s="14" t="n">
        <x:v>1499</x:v>
      </x:c>
      <x:c r="L88" s="16" t="n">
        <x:v>0</x:v>
      </x:c>
      <x:c r="M88" t="str">
        <x:v>Ishita</x:v>
      </x:c>
      <x:c r="N88" t="n">
        <x:v>6</x:v>
      </x:c>
      <x:c r="O88" s="18" t="n">
        <x:v>4.5</x:v>
      </x:c>
      <x:c r="P88" s="14" t="n">
        <x:f>J88*K88</x:f>
        <x:v>2998</x:v>
      </x:c>
      <x:c r="Q88" s="14" t="n">
        <x:f>P88*(1-L88)</x:f>
        <x:v>2998</x:v>
      </x:c>
      <x:c r="R88" s="14" t="n">
        <x:f>Q88*(0.24+MOD(ROW(),7)*0.005)</x:f>
        <x:v>779.48</x:v>
      </x:c>
    </x:row>
    <x:row r="89">
      <x:c r="A89" s="12" t="n">
        <x:v>46237</x:v>
      </x:c>
      <x:c r="B89" t="str">
        <x:v>EC26-0088</x:v>
      </x:c>
      <x:c r="C89" t="str">
        <x:v>Madhya Pradesh</x:v>
      </x:c>
      <x:c r="D89" t="str">
        <x:v>Indore</x:v>
      </x:c>
      <x:c r="E89" t="str">
        <x:v>Grocery</x:v>
      </x:c>
      <x:c r="F89" t="str">
        <x:v>Green Tea</x:v>
      </x:c>
      <x:c r="G89" t="str">
        <x:v>Consumer</x:v>
      </x:c>
      <x:c r="H89" t="str">
        <x:v>Marketplace</x:v>
      </x:c>
      <x:c r="I89" t="str">
        <x:v>Wallet</x:v>
      </x:c>
      <x:c r="J89" t="n">
        <x:v>2</x:v>
      </x:c>
      <x:c r="K89" s="14" t="n">
        <x:v>499</x:v>
      </x:c>
      <x:c r="L89" s="16" t="n">
        <x:v>0.05</x:v>
      </x:c>
      <x:c r="M89" t="str">
        <x:v>Aarav</x:v>
      </x:c>
      <x:c r="N89" t="n">
        <x:v>4</x:v>
      </x:c>
      <x:c r="O89" s="18" t="n">
        <x:v>4</x:v>
      </x:c>
      <x:c r="P89" s="14" t="n">
        <x:f>J89*K89</x:f>
        <x:v>998</x:v>
      </x:c>
      <x:c r="Q89" s="14" t="n">
        <x:f>P89*(1-L89)</x:f>
        <x:v>948.0999999999999</x:v>
      </x:c>
      <x:c r="R89" s="14" t="n">
        <x:f>Q89*(0.24+MOD(ROW(),7)*0.005)</x:f>
        <x:v>251.2465</x:v>
      </x:c>
    </x:row>
    <x:row r="90">
      <x:c r="A90" s="12" t="n">
        <x:v>46216</x:v>
      </x:c>
      <x:c r="B90" t="str">
        <x:v>EC26-0089</x:v>
      </x:c>
      <x:c r="C90" t="str">
        <x:v>Tamil Nadu</x:v>
      </x:c>
      <x:c r="D90" t="str">
        <x:v>Chennai</x:v>
      </x:c>
      <x:c r="E90" t="str">
        <x:v>Home</x:v>
      </x:c>
      <x:c r="F90" t="str">
        <x:v>Storage Rack</x:v>
      </x:c>
      <x:c r="G90" t="str">
        <x:v>Small Business</x:v>
      </x:c>
      <x:c r="H90" t="str">
        <x:v>Website</x:v>
      </x:c>
      <x:c r="I90" t="str">
        <x:v>Debit Card</x:v>
      </x:c>
      <x:c r="J90" t="n">
        <x:v>2</x:v>
      </x:c>
      <x:c r="K90" s="14" t="n">
        <x:v>2299</x:v>
      </x:c>
      <x:c r="L90" s="16" t="n">
        <x:v>0.12</x:v>
      </x:c>
      <x:c r="M90" t="str">
        <x:v>Aarav</x:v>
      </x:c>
      <x:c r="N90" t="n">
        <x:v>6</x:v>
      </x:c>
      <x:c r="O90" s="18" t="n">
        <x:v>4</x:v>
      </x:c>
      <x:c r="P90" s="14" t="n">
        <x:f>J90*K90</x:f>
        <x:v>4598</x:v>
      </x:c>
      <x:c r="Q90" s="14" t="n">
        <x:f>P90*(1-L90)</x:f>
        <x:v>4046.2400000000002</x:v>
      </x:c>
      <x:c r="R90" s="14" t="n">
        <x:f>Q90*(0.24+MOD(ROW(),7)*0.005)</x:f>
        <x:v>1092.4848000000002</x:v>
      </x:c>
    </x:row>
    <x:row r="91">
      <x:c r="A91" s="12" t="n">
        <x:v>46112</x:v>
      </x:c>
      <x:c r="B91" t="str">
        <x:v>EC26-0090</x:v>
      </x:c>
      <x:c r="C91" t="str">
        <x:v>Punjab</x:v>
      </x:c>
      <x:c r="D91" t="str">
        <x:v>Ludhiana</x:v>
      </x:c>
      <x:c r="E91" t="str">
        <x:v>Beauty</x:v>
      </x:c>
      <x:c r="F91" t="str">
        <x:v>Makeup Set</x:v>
      </x:c>
      <x:c r="G91" t="str">
        <x:v>Corporate</x:v>
      </x:c>
      <x:c r="H91" t="str">
        <x:v>Website</x:v>
      </x:c>
      <x:c r="I91" t="str">
        <x:v>Wallet</x:v>
      </x:c>
      <x:c r="J91" t="n">
        <x:v>1</x:v>
      </x:c>
      <x:c r="K91" s="14" t="n">
        <x:v>1599</x:v>
      </x:c>
      <x:c r="L91" s="16" t="n">
        <x:v>0.12</x:v>
      </x:c>
      <x:c r="M91" t="str">
        <x:v>Anaya</x:v>
      </x:c>
      <x:c r="N91" t="n">
        <x:v>2</x:v>
      </x:c>
      <x:c r="O91" s="18" t="n">
        <x:v>3.5</x:v>
      </x:c>
      <x:c r="P91" s="14" t="n">
        <x:f>J91*K91</x:f>
        <x:v>1599</x:v>
      </x:c>
      <x:c r="Q91" s="14" t="n">
        <x:f>P91*(1-L91)</x:f>
        <x:v>1407.1200000000001</x:v>
      </x:c>
      <x:c r="R91" s="14" t="n">
        <x:f>Q91*(0.24+MOD(ROW(),7)*0.005)</x:f>
        <x:v>337.7088</x:v>
      </x:c>
    </x:row>
    <x:row r="92">
      <x:c r="A92" s="12" t="n">
        <x:v>46336</x:v>
      </x:c>
      <x:c r="B92" t="str">
        <x:v>EC26-0091</x:v>
      </x:c>
      <x:c r="C92" t="str">
        <x:v>Rajasthan</x:v>
      </x:c>
      <x:c r="D92" t="str">
        <x:v>Jaipur</x:v>
      </x:c>
      <x:c r="E92" t="str">
        <x:v>Home</x:v>
      </x:c>
      <x:c r="F92" t="str">
        <x:v>Bedsheet Set</x:v>
      </x:c>
      <x:c r="G92" t="str">
        <x:v>Consumer</x:v>
      </x:c>
      <x:c r="H92" t="str">
        <x:v>Mobile App</x:v>
      </x:c>
      <x:c r="I92" t="str">
        <x:v>Wallet</x:v>
      </x:c>
      <x:c r="J92" t="n">
        <x:v>1</x:v>
      </x:c>
      <x:c r="K92" s="14" t="n">
        <x:v>1499</x:v>
      </x:c>
      <x:c r="L92" s="16" t="n">
        <x:v>0.05</x:v>
      </x:c>
      <x:c r="M92" t="str">
        <x:v>Rohan</x:v>
      </x:c>
      <x:c r="N92" t="n">
        <x:v>6</x:v>
      </x:c>
      <x:c r="O92" s="18" t="n">
        <x:v>4</x:v>
      </x:c>
      <x:c r="P92" s="14" t="n">
        <x:f>J92*K92</x:f>
        <x:v>1499</x:v>
      </x:c>
      <x:c r="Q92" s="14" t="n">
        <x:f>P92*(1-L92)</x:f>
        <x:v>1424.05</x:v>
      </x:c>
      <x:c r="R92" s="14" t="n">
        <x:f>Q92*(0.24+MOD(ROW(),7)*0.005)</x:f>
        <x:v>348.89225</x:v>
      </x:c>
    </x:row>
    <x:row r="93">
      <x:c r="A93" s="12" t="n">
        <x:v>46343</x:v>
      </x:c>
      <x:c r="B93" t="str">
        <x:v>EC26-0092</x:v>
      </x:c>
      <x:c r="C93" t="str">
        <x:v>Maharashtra</x:v>
      </x:c>
      <x:c r="D93" t="str">
        <x:v>Mumbai</x:v>
      </x:c>
      <x:c r="E93" t="str">
        <x:v>Beauty</x:v>
      </x:c>
      <x:c r="F93" t="str">
        <x:v>Makeup Set</x:v>
      </x:c>
      <x:c r="G93" t="str">
        <x:v>Corporate</x:v>
      </x:c>
      <x:c r="H93" t="str">
        <x:v>Mobile App</x:v>
      </x:c>
      <x:c r="I93" t="str">
        <x:v>UPI</x:v>
      </x:c>
      <x:c r="J93" t="n">
        <x:v>1</x:v>
      </x:c>
      <x:c r="K93" s="14" t="n">
        <x:v>1599</x:v>
      </x:c>
      <x:c r="L93" s="16" t="n">
        <x:v>0.02</x:v>
      </x:c>
      <x:c r="M93" t="str">
        <x:v>Vihaan</x:v>
      </x:c>
      <x:c r="N93" t="n">
        <x:v>6</x:v>
      </x:c>
      <x:c r="O93" s="18" t="n">
        <x:v>4.5</x:v>
      </x:c>
      <x:c r="P93" s="14" t="n">
        <x:f>J93*K93</x:f>
        <x:v>1599</x:v>
      </x:c>
      <x:c r="Q93" s="14" t="n">
        <x:f>P93*(1-L93)</x:f>
        <x:v>1567.02</x:v>
      </x:c>
      <x:c r="R93" s="14" t="n">
        <x:f>Q93*(0.24+MOD(ROW(),7)*0.005)</x:f>
        <x:v>391.755</x:v>
      </x:c>
    </x:row>
    <x:row r="94">
      <x:c r="A94" s="12" t="n">
        <x:v>46250</x:v>
      </x:c>
      <x:c r="B94" t="str">
        <x:v>EC26-0093</x:v>
      </x:c>
      <x:c r="C94" t="str">
        <x:v>Punjab</x:v>
      </x:c>
      <x:c r="D94" t="str">
        <x:v>Ludhiana</x:v>
      </x:c>
      <x:c r="E94" t="str">
        <x:v>Home</x:v>
      </x:c>
      <x:c r="F94" t="str">
        <x:v>LED Lamp</x:v>
      </x:c>
      <x:c r="G94" t="str">
        <x:v>Corporate</x:v>
      </x:c>
      <x:c r="H94" t="str">
        <x:v>Mobile App</x:v>
      </x:c>
      <x:c r="I94" t="str">
        <x:v>Debit Card</x:v>
      </x:c>
      <x:c r="J94" t="n">
        <x:v>2</x:v>
      </x:c>
      <x:c r="K94" s="14" t="n">
        <x:v>899</x:v>
      </x:c>
      <x:c r="L94" s="16" t="n">
        <x:v>0.1</x:v>
      </x:c>
      <x:c r="M94" t="str">
        <x:v>Simran</x:v>
      </x:c>
      <x:c r="N94" t="n">
        <x:v>5</x:v>
      </x:c>
      <x:c r="O94" s="18" t="n">
        <x:v>3.5</x:v>
      </x:c>
      <x:c r="P94" s="14" t="n">
        <x:f>J94*K94</x:f>
        <x:v>1798</x:v>
      </x:c>
      <x:c r="Q94" s="14" t="n">
        <x:f>P94*(1-L94)</x:f>
        <x:v>1618.2</x:v>
      </x:c>
      <x:c r="R94" s="14" t="n">
        <x:f>Q94*(0.24+MOD(ROW(),7)*0.005)</x:f>
        <x:v>412.641</x:v>
      </x:c>
    </x:row>
    <x:row r="95">
      <x:c r="A95" s="12" t="n">
        <x:v>46303</x:v>
      </x:c>
      <x:c r="B95" t="str">
        <x:v>EC26-0094</x:v>
      </x:c>
      <x:c r="C95" t="str">
        <x:v>Maharashtra</x:v>
      </x:c>
      <x:c r="D95" t="str">
        <x:v>Mumbai</x:v>
      </x:c>
      <x:c r="E95" t="str">
        <x:v>Fashion</x:v>
      </x:c>
      <x:c r="F95" t="str">
        <x:v>Hoodie</x:v>
      </x:c>
      <x:c r="G95" t="str">
        <x:v>Small Business</x:v>
      </x:c>
      <x:c r="H95" t="str">
        <x:v>Mobile App</x:v>
      </x:c>
      <x:c r="I95" t="str">
        <x:v>Credit Card</x:v>
      </x:c>
      <x:c r="J95" t="n">
        <x:v>5</x:v>
      </x:c>
      <x:c r="K95" s="14" t="n">
        <x:v>1999</x:v>
      </x:c>
      <x:c r="L95" s="16" t="n">
        <x:v>0.05</x:v>
      </x:c>
      <x:c r="M95" t="str">
        <x:v>Simran</x:v>
      </x:c>
      <x:c r="N95" t="n">
        <x:v>2</x:v>
      </x:c>
      <x:c r="O95" s="18" t="n">
        <x:v>3.5</x:v>
      </x:c>
      <x:c r="P95" s="14" t="n">
        <x:f>J95*K95</x:f>
        <x:v>9995</x:v>
      </x:c>
      <x:c r="Q95" s="14" t="n">
        <x:f>P95*(1-L95)</x:f>
        <x:v>9495.25</x:v>
      </x:c>
      <x:c r="R95" s="14" t="n">
        <x:f>Q95*(0.24+MOD(ROW(),7)*0.005)</x:f>
        <x:v>2468.765</x:v>
      </x:c>
    </x:row>
    <x:row r="96">
      <x:c r="A96" s="12" t="n">
        <x:v>46220</x:v>
      </x:c>
      <x:c r="B96" t="str">
        <x:v>EC26-0095</x:v>
      </x:c>
      <x:c r="C96" t="str">
        <x:v>Delhi</x:v>
      </x:c>
      <x:c r="D96" t="str">
        <x:v>New Delhi</x:v>
      </x:c>
      <x:c r="E96" t="str">
        <x:v>Grocery</x:v>
      </x:c>
      <x:c r="F96" t="str">
        <x:v>Green Tea</x:v>
      </x:c>
      <x:c r="G96" t="str">
        <x:v>Consumer</x:v>
      </x:c>
      <x:c r="H96" t="str">
        <x:v>Marketplace</x:v>
      </x:c>
      <x:c r="I96" t="str">
        <x:v>Wallet</x:v>
      </x:c>
      <x:c r="J96" t="n">
        <x:v>2</x:v>
      </x:c>
      <x:c r="K96" s="14" t="n">
        <x:v>499</x:v>
      </x:c>
      <x:c r="L96" s="16" t="n">
        <x:v>0.07</x:v>
      </x:c>
      <x:c r="M96" t="str">
        <x:v>Rohan</x:v>
      </x:c>
      <x:c r="N96" t="n">
        <x:v>6</x:v>
      </x:c>
      <x:c r="O96" s="18" t="n">
        <x:v>4.5</x:v>
      </x:c>
      <x:c r="P96" s="14" t="n">
        <x:f>J96*K96</x:f>
        <x:v>998</x:v>
      </x:c>
      <x:c r="Q96" s="14" t="n">
        <x:f>P96*(1-L96)</x:f>
        <x:v>928.14</x:v>
      </x:c>
      <x:c r="R96" s="14" t="n">
        <x:f>Q96*(0.24+MOD(ROW(),7)*0.005)</x:f>
        <x:v>245.9571</x:v>
      </x:c>
    </x:row>
    <x:row r="97">
      <x:c r="A97" s="12" t="n">
        <x:v>46216</x:v>
      </x:c>
      <x:c r="B97" t="str">
        <x:v>EC26-0096</x:v>
      </x:c>
      <x:c r="C97" t="str">
        <x:v>Punjab</x:v>
      </x:c>
      <x:c r="D97" t="str">
        <x:v>Ludhiana</x:v>
      </x:c>
      <x:c r="E97" t="str">
        <x:v>Home</x:v>
      </x:c>
      <x:c r="F97" t="str">
        <x:v>LED Lamp</x:v>
      </x:c>
      <x:c r="G97" t="str">
        <x:v>Consumer</x:v>
      </x:c>
      <x:c r="H97" t="str">
        <x:v>Website</x:v>
      </x:c>
      <x:c r="I97" t="str">
        <x:v>Wallet</x:v>
      </x:c>
      <x:c r="J97" t="n">
        <x:v>3</x:v>
      </x:c>
      <x:c r="K97" s="14" t="n">
        <x:v>899</x:v>
      </x:c>
      <x:c r="L97" s="16" t="n">
        <x:v>0.07</x:v>
      </x:c>
      <x:c r="M97" t="str">
        <x:v>Rohan</x:v>
      </x:c>
      <x:c r="N97" t="n">
        <x:v>1</x:v>
      </x:c>
      <x:c r="O97" s="18" t="n">
        <x:v>4.5</x:v>
      </x:c>
      <x:c r="P97" s="14" t="n">
        <x:f>J97*K97</x:f>
        <x:v>2697</x:v>
      </x:c>
      <x:c r="Q97" s="14" t="n">
        <x:f>P97*(1-L97)</x:f>
        <x:v>2508.21</x:v>
      </x:c>
      <x:c r="R97" s="14" t="n">
        <x:f>Q97*(0.24+MOD(ROW(),7)*0.005)</x:f>
        <x:v>677.2167000000001</x:v>
      </x:c>
    </x:row>
    <x:row r="98">
      <x:c r="A98" s="12" t="n">
        <x:v>46123</x:v>
      </x:c>
      <x:c r="B98" t="str">
        <x:v>EC26-0097</x:v>
      </x:c>
      <x:c r="C98" t="str">
        <x:v>Telangana</x:v>
      </x:c>
      <x:c r="D98" t="str">
        <x:v>Hyderabad</x:v>
      </x:c>
      <x:c r="E98" t="str">
        <x:v>Fashion</x:v>
      </x:c>
      <x:c r="F98" t="str">
        <x:v>Backpack</x:v>
      </x:c>
      <x:c r="G98" t="str">
        <x:v>Corporate</x:v>
      </x:c>
      <x:c r="H98" t="str">
        <x:v>Mobile App</x:v>
      </x:c>
      <x:c r="I98" t="str">
        <x:v>COD</x:v>
      </x:c>
      <x:c r="J98" t="n">
        <x:v>2</x:v>
      </x:c>
      <x:c r="K98" s="14" t="n">
        <x:v>1799</x:v>
      </x:c>
      <x:c r="L98" s="16" t="n">
        <x:v>0.02</x:v>
      </x:c>
      <x:c r="M98" t="str">
        <x:v>Aarav</x:v>
      </x:c>
      <x:c r="N98" t="n">
        <x:v>4</x:v>
      </x:c>
      <x:c r="O98" s="18" t="n">
        <x:v>5</x:v>
      </x:c>
      <x:c r="P98" s="14" t="n">
        <x:f>J98*K98</x:f>
        <x:v>3598</x:v>
      </x:c>
      <x:c r="Q98" s="14" t="n">
        <x:f>P98*(1-L98)</x:f>
        <x:v>3526.04</x:v>
      </x:c>
      <x:c r="R98" s="14" t="n">
        <x:f>Q98*(0.24+MOD(ROW(),7)*0.005)</x:f>
        <x:v>846.2496</x:v>
      </x:c>
    </x:row>
    <x:row r="99">
      <x:c r="A99" s="12" t="n">
        <x:v>46328</x:v>
      </x:c>
      <x:c r="B99" t="str">
        <x:v>EC26-0098</x:v>
      </x:c>
      <x:c r="C99" t="str">
        <x:v>Rajasthan</x:v>
      </x:c>
      <x:c r="D99" t="str">
        <x:v>Jaipur</x:v>
      </x:c>
      <x:c r="E99" t="str">
        <x:v>Home</x:v>
      </x:c>
      <x:c r="F99" t="str">
        <x:v>Storage Rack</x:v>
      </x:c>
      <x:c r="G99" t="str">
        <x:v>Consumer</x:v>
      </x:c>
      <x:c r="H99" t="str">
        <x:v>Marketplace</x:v>
      </x:c>
      <x:c r="I99" t="str">
        <x:v>Wallet</x:v>
      </x:c>
      <x:c r="J99" t="n">
        <x:v>1</x:v>
      </x:c>
      <x:c r="K99" s="14" t="n">
        <x:v>2299</x:v>
      </x:c>
      <x:c r="L99" s="16" t="n">
        <x:v>0.07</x:v>
      </x:c>
      <x:c r="M99" t="str">
        <x:v>Rohan</x:v>
      </x:c>
      <x:c r="N99" t="n">
        <x:v>5</x:v>
      </x:c>
      <x:c r="O99" s="18" t="n">
        <x:v>5</x:v>
      </x:c>
      <x:c r="P99" s="14" t="n">
        <x:f>J99*K99</x:f>
        <x:v>2299</x:v>
      </x:c>
      <x:c r="Q99" s="14" t="n">
        <x:f>P99*(1-L99)</x:f>
        <x:v>2138.0699999999997</x:v>
      </x:c>
      <x:c r="R99" s="14" t="n">
        <x:f>Q99*(0.24+MOD(ROW(),7)*0.005)</x:f>
        <x:v>523.82715</x:v>
      </x:c>
    </x:row>
    <x:row r="100">
      <x:c r="A100" s="12" t="n">
        <x:v>46337</x:v>
      </x:c>
      <x:c r="B100" t="str">
        <x:v>EC26-0099</x:v>
      </x:c>
      <x:c r="C100" t="str">
        <x:v>Rajasthan</x:v>
      </x:c>
      <x:c r="D100" t="str">
        <x:v>Jaipur</x:v>
      </x:c>
      <x:c r="E100" t="str">
        <x:v>Home</x:v>
      </x:c>
      <x:c r="F100" t="str">
        <x:v>LED Lamp</x:v>
      </x:c>
      <x:c r="G100" t="str">
        <x:v>Consumer</x:v>
      </x:c>
      <x:c r="H100" t="str">
        <x:v>Website</x:v>
      </x:c>
      <x:c r="I100" t="str">
        <x:v>COD</x:v>
      </x:c>
      <x:c r="J100" t="n">
        <x:v>3</x:v>
      </x:c>
      <x:c r="K100" s="14" t="n">
        <x:v>899</x:v>
      </x:c>
      <x:c r="L100" s="16" t="n">
        <x:v>0.1</x:v>
      </x:c>
      <x:c r="M100" t="str">
        <x:v>Vihaan</x:v>
      </x:c>
      <x:c r="N100" t="n">
        <x:v>3</x:v>
      </x:c>
      <x:c r="O100" s="18" t="n">
        <x:v>5</x:v>
      </x:c>
      <x:c r="P100" s="14" t="n">
        <x:f>J100*K100</x:f>
        <x:v>2697</x:v>
      </x:c>
      <x:c r="Q100" s="14" t="n">
        <x:f>P100*(1-L100)</x:f>
        <x:v>2427.3</x:v>
      </x:c>
      <x:c r="R100" s="14" t="n">
        <x:f>Q100*(0.24+MOD(ROW(),7)*0.005)</x:f>
        <x:v>606.825</x:v>
      </x:c>
    </x:row>
    <x:row r="101">
      <x:c r="A101" s="12" t="n">
        <x:v>46209</x:v>
      </x:c>
      <x:c r="B101" t="str">
        <x:v>EC26-0100</x:v>
      </x:c>
      <x:c r="C101" t="str">
        <x:v>Tamil Nadu</x:v>
      </x:c>
      <x:c r="D101" t="str">
        <x:v>Chennai</x:v>
      </x:c>
      <x:c r="E101" t="str">
        <x:v>Grocery</x:v>
      </x:c>
      <x:c r="F101" t="str">
        <x:v>Healthy Snacks</x:v>
      </x:c>
      <x:c r="G101" t="str">
        <x:v>Small Business</x:v>
      </x:c>
      <x:c r="H101" t="str">
        <x:v>Website</x:v>
      </x:c>
      <x:c r="I101" t="str">
        <x:v>UPI</x:v>
      </x:c>
      <x:c r="J101" t="n">
        <x:v>1</x:v>
      </x:c>
      <x:c r="K101" s="14" t="n">
        <x:v>599</x:v>
      </x:c>
      <x:c r="L101" s="16" t="n">
        <x:v>0.15</x:v>
      </x:c>
      <x:c r="M101" t="str">
        <x:v>Meera</x:v>
      </x:c>
      <x:c r="N101" t="n">
        <x:v>2</x:v>
      </x:c>
      <x:c r="O101" s="18" t="n">
        <x:v>4.5</x:v>
      </x:c>
      <x:c r="P101" s="14" t="n">
        <x:f>J101*K101</x:f>
        <x:v>599</x:v>
      </x:c>
      <x:c r="Q101" s="14" t="n">
        <x:f>P101*(1-L101)</x:f>
        <x:v>509.15</x:v>
      </x:c>
      <x:c r="R101" s="14" t="n">
        <x:f>Q101*(0.24+MOD(ROW(),7)*0.005)</x:f>
        <x:v>129.83325</x:v>
      </x:c>
    </x:row>
    <x:row r="102">
      <x:c r="A102" s="12" t="n">
        <x:v>46224</x:v>
      </x:c>
      <x:c r="B102" t="str">
        <x:v>EC26-0101</x:v>
      </x:c>
      <x:c r="C102" t="str">
        <x:v>West Bengal</x:v>
      </x:c>
      <x:c r="D102" t="str">
        <x:v>Kolkata</x:v>
      </x:c>
      <x:c r="E102" t="str">
        <x:v>Fashion</x:v>
      </x:c>
      <x:c r="F102" t="str">
        <x:v>Backpack</x:v>
      </x:c>
      <x:c r="G102" t="str">
        <x:v>Consumer</x:v>
      </x:c>
      <x:c r="H102" t="str">
        <x:v>Marketplace</x:v>
      </x:c>
      <x:c r="I102" t="str">
        <x:v>UPI</x:v>
      </x:c>
      <x:c r="J102" t="n">
        <x:v>2</x:v>
      </x:c>
      <x:c r="K102" s="14" t="n">
        <x:v>1799</x:v>
      </x:c>
      <x:c r="L102" s="16" t="n">
        <x:v>0.05</x:v>
      </x:c>
      <x:c r="M102" t="str">
        <x:v>Ishita</x:v>
      </x:c>
      <x:c r="N102" t="n">
        <x:v>2</x:v>
      </x:c>
      <x:c r="O102" s="18" t="n">
        <x:v>4</x:v>
      </x:c>
      <x:c r="P102" s="14" t="n">
        <x:f>J102*K102</x:f>
        <x:v>3598</x:v>
      </x:c>
      <x:c r="Q102" s="14" t="n">
        <x:f>P102*(1-L102)</x:f>
        <x:v>3418.1</x:v>
      </x:c>
      <x:c r="R102" s="14" t="n">
        <x:f>Q102*(0.24+MOD(ROW(),7)*0.005)</x:f>
        <x:v>888.706</x:v>
      </x:c>
    </x:row>
    <x:row r="103">
      <x:c r="A103" s="12" t="n">
        <x:v>46257</x:v>
      </x:c>
      <x:c r="B103" t="str">
        <x:v>EC26-0102</x:v>
      </x:c>
      <x:c r="C103" t="str">
        <x:v>Kerala</x:v>
      </x:c>
      <x:c r="D103" t="str">
        <x:v>Kochi</x:v>
      </x:c>
      <x:c r="E103" t="str">
        <x:v>Home</x:v>
      </x:c>
      <x:c r="F103" t="str">
        <x:v>Storage Rack</x:v>
      </x:c>
      <x:c r="G103" t="str">
        <x:v>Consumer</x:v>
      </x:c>
      <x:c r="H103" t="str">
        <x:v>Mobile App</x:v>
      </x:c>
      <x:c r="I103" t="str">
        <x:v>Credit Card</x:v>
      </x:c>
      <x:c r="J103" t="n">
        <x:v>5</x:v>
      </x:c>
      <x:c r="K103" s="14" t="n">
        <x:v>2299</x:v>
      </x:c>
      <x:c r="L103" s="16" t="n">
        <x:v>0.12</x:v>
      </x:c>
      <x:c r="M103" t="str">
        <x:v>Simran</x:v>
      </x:c>
      <x:c r="N103" t="n">
        <x:v>3</x:v>
      </x:c>
      <x:c r="O103" s="18" t="n">
        <x:v>3</x:v>
      </x:c>
      <x:c r="P103" s="14" t="n">
        <x:f>J103*K103</x:f>
        <x:v>11495</x:v>
      </x:c>
      <x:c r="Q103" s="14" t="n">
        <x:f>P103*(1-L103)</x:f>
        <x:v>10115.6</x:v>
      </x:c>
      <x:c r="R103" s="14" t="n">
        <x:f>Q103*(0.24+MOD(ROW(),7)*0.005)</x:f>
        <x:v>2680.634</x:v>
      </x:c>
    </x:row>
    <x:row r="104">
      <x:c r="A104" s="12" t="n">
        <x:v>46056</x:v>
      </x:c>
      <x:c r="B104" t="str">
        <x:v>EC26-0103</x:v>
      </x:c>
      <x:c r="C104" t="str">
        <x:v>Uttar Pradesh</x:v>
      </x:c>
      <x:c r="D104" t="str">
        <x:v>Lucknow</x:v>
      </x:c>
      <x:c r="E104" t="str">
        <x:v>Fashion</x:v>
      </x:c>
      <x:c r="F104" t="str">
        <x:v>Backpack</x:v>
      </x:c>
      <x:c r="G104" t="str">
        <x:v>Small Business</x:v>
      </x:c>
      <x:c r="H104" t="str">
        <x:v>Website</x:v>
      </x:c>
      <x:c r="I104" t="str">
        <x:v>Credit Card</x:v>
      </x:c>
      <x:c r="J104" t="n">
        <x:v>2</x:v>
      </x:c>
      <x:c r="K104" s="14" t="n">
        <x:v>1799</x:v>
      </x:c>
      <x:c r="L104" s="16" t="n">
        <x:v>0</x:v>
      </x:c>
      <x:c r="M104" t="str">
        <x:v>Anaya</x:v>
      </x:c>
      <x:c r="N104" t="n">
        <x:v>3</x:v>
      </x:c>
      <x:c r="O104" s="18" t="n">
        <x:v>4</x:v>
      </x:c>
      <x:c r="P104" s="14" t="n">
        <x:f>J104*K104</x:f>
        <x:v>3598</x:v>
      </x:c>
      <x:c r="Q104" s="14" t="n">
        <x:f>P104*(1-L104)</x:f>
        <x:v>3598</x:v>
      </x:c>
      <x:c r="R104" s="14" t="n">
        <x:f>Q104*(0.24+MOD(ROW(),7)*0.005)</x:f>
        <x:v>971.46</x:v>
      </x:c>
    </x:row>
    <x:row r="105">
      <x:c r="A105" s="12" t="n">
        <x:v>46067</x:v>
      </x:c>
      <x:c r="B105" t="str">
        <x:v>EC26-0104</x:v>
      </x:c>
      <x:c r="C105" t="str">
        <x:v>Uttar Pradesh</x:v>
      </x:c>
      <x:c r="D105" t="str">
        <x:v>Lucknow</x:v>
      </x:c>
      <x:c r="E105" t="str">
        <x:v>Fashion</x:v>
      </x:c>
      <x:c r="F105" t="str">
        <x:v>Hoodie</x:v>
      </x:c>
      <x:c r="G105" t="str">
        <x:v>Consumer</x:v>
      </x:c>
      <x:c r="H105" t="str">
        <x:v>Marketplace</x:v>
      </x:c>
      <x:c r="I105" t="str">
        <x:v>COD</x:v>
      </x:c>
      <x:c r="J105" t="n">
        <x:v>2</x:v>
      </x:c>
      <x:c r="K105" s="14" t="n">
        <x:v>1999</x:v>
      </x:c>
      <x:c r="L105" s="16" t="n">
        <x:v>0.15</x:v>
      </x:c>
      <x:c r="M105" t="str">
        <x:v>Kabir</x:v>
      </x:c>
      <x:c r="N105" t="n">
        <x:v>2</x:v>
      </x:c>
      <x:c r="O105" s="18" t="n">
        <x:v>4.5</x:v>
      </x:c>
      <x:c r="P105" s="14" t="n">
        <x:f>J105*K105</x:f>
        <x:v>3998</x:v>
      </x:c>
      <x:c r="Q105" s="14" t="n">
        <x:f>P105*(1-L105)</x:f>
        <x:v>3398.2999999999997</x:v>
      </x:c>
      <x:c r="R105" s="14" t="n">
        <x:f>Q105*(0.24+MOD(ROW(),7)*0.005)</x:f>
        <x:v>815.5919999999999</x:v>
      </x:c>
    </x:row>
    <x:row r="106">
      <x:c r="A106" s="12" t="n">
        <x:v>46239</x:v>
      </x:c>
      <x:c r="B106" t="str">
        <x:v>EC26-0105</x:v>
      </x:c>
      <x:c r="C106" t="str">
        <x:v>Karnataka</x:v>
      </x:c>
      <x:c r="D106" t="str">
        <x:v>Bengaluru</x:v>
      </x:c>
      <x:c r="E106" t="str">
        <x:v>Beauty</x:v>
      </x:c>
      <x:c r="F106" t="str">
        <x:v>Perfume</x:v>
      </x:c>
      <x:c r="G106" t="str">
        <x:v>Corporate</x:v>
      </x:c>
      <x:c r="H106" t="str">
        <x:v>Marketplace</x:v>
      </x:c>
      <x:c r="I106" t="str">
        <x:v>UPI</x:v>
      </x:c>
      <x:c r="J106" t="n">
        <x:v>1</x:v>
      </x:c>
      <x:c r="K106" s="14" t="n">
        <x:v>2499</x:v>
      </x:c>
      <x:c r="L106" s="16" t="n">
        <x:v>0.07</x:v>
      </x:c>
      <x:c r="M106" t="str">
        <x:v>Aarav</x:v>
      </x:c>
      <x:c r="N106" t="n">
        <x:v>3</x:v>
      </x:c>
      <x:c r="O106" s="18" t="n">
        <x:v>4.5</x:v>
      </x:c>
      <x:c r="P106" s="14" t="n">
        <x:f>J106*K106</x:f>
        <x:v>2499</x:v>
      </x:c>
      <x:c r="Q106" s="14" t="n">
        <x:f>P106*(1-L106)</x:f>
        <x:v>2324.0699999999997</x:v>
      </x:c>
      <x:c r="R106" s="14" t="n">
        <x:f>Q106*(0.24+MOD(ROW(),7)*0.005)</x:f>
        <x:v>569.3971499999999</x:v>
      </x:c>
    </x:row>
    <x:row r="107">
      <x:c r="A107" s="12" t="n">
        <x:v>46058</x:v>
      </x:c>
      <x:c r="B107" t="str">
        <x:v>EC26-0106</x:v>
      </x:c>
      <x:c r="C107" t="str">
        <x:v>Telangana</x:v>
      </x:c>
      <x:c r="D107" t="str">
        <x:v>Hyderabad</x:v>
      </x:c>
      <x:c r="E107" t="str">
        <x:v>Grocery</x:v>
      </x:c>
      <x:c r="F107" t="str">
        <x:v>Healthy Snacks</x:v>
      </x:c>
      <x:c r="G107" t="str">
        <x:v>Corporate</x:v>
      </x:c>
      <x:c r="H107" t="str">
        <x:v>Website</x:v>
      </x:c>
      <x:c r="I107" t="str">
        <x:v>UPI</x:v>
      </x:c>
      <x:c r="J107" t="n">
        <x:v>1</x:v>
      </x:c>
      <x:c r="K107" s="14" t="n">
        <x:v>599</x:v>
      </x:c>
      <x:c r="L107" s="16" t="n">
        <x:v>0</x:v>
      </x:c>
      <x:c r="M107" t="str">
        <x:v>Kabir</x:v>
      </x:c>
      <x:c r="N107" t="n">
        <x:v>4</x:v>
      </x:c>
      <x:c r="O107" s="18" t="n">
        <x:v>5</x:v>
      </x:c>
      <x:c r="P107" s="14" t="n">
        <x:f>J107*K107</x:f>
        <x:v>599</x:v>
      </x:c>
      <x:c r="Q107" s="14" t="n">
        <x:f>P107*(1-L107)</x:f>
        <x:v>599</x:v>
      </x:c>
      <x:c r="R107" s="14" t="n">
        <x:f>Q107*(0.24+MOD(ROW(),7)*0.005)</x:f>
        <x:v>149.75</x:v>
      </x:c>
    </x:row>
    <x:row r="108">
      <x:c r="A108" s="12" t="n">
        <x:v>46155</x:v>
      </x:c>
      <x:c r="B108" t="str">
        <x:v>EC26-0107</x:v>
      </x:c>
      <x:c r="C108" t="str">
        <x:v>Gujarat</x:v>
      </x:c>
      <x:c r="D108" t="str">
        <x:v>Ahmedabad</x:v>
      </x:c>
      <x:c r="E108" t="str">
        <x:v>Electronics</x:v>
      </x:c>
      <x:c r="F108" t="str">
        <x:v>Smartwatch</x:v>
      </x:c>
      <x:c r="G108" t="str">
        <x:v>Consumer</x:v>
      </x:c>
      <x:c r="H108" t="str">
        <x:v>Mobile App</x:v>
      </x:c>
      <x:c r="I108" t="str">
        <x:v>UPI</x:v>
      </x:c>
      <x:c r="J108" t="n">
        <x:v>1</x:v>
      </x:c>
      <x:c r="K108" s="14" t="n">
        <x:v>3999</x:v>
      </x:c>
      <x:c r="L108" s="16" t="n">
        <x:v>0.15</x:v>
      </x:c>
      <x:c r="M108" t="str">
        <x:v>Rohan</x:v>
      </x:c>
      <x:c r="N108" t="n">
        <x:v>3</x:v>
      </x:c>
      <x:c r="O108" s="18" t="n">
        <x:v>5</x:v>
      </x:c>
      <x:c r="P108" s="14" t="n">
        <x:f>J108*K108</x:f>
        <x:v>3999</x:v>
      </x:c>
      <x:c r="Q108" s="14" t="n">
        <x:f>P108*(1-L108)</x:f>
        <x:v>3399.15</x:v>
      </x:c>
      <x:c r="R108" s="14" t="n">
        <x:f>Q108*(0.24+MOD(ROW(),7)*0.005)</x:f>
        <x:v>866.7832500000001</x:v>
      </x:c>
    </x:row>
    <x:row r="109">
      <x:c r="A109" s="12" t="n">
        <x:v>46319</x:v>
      </x:c>
      <x:c r="B109" t="str">
        <x:v>EC26-0108</x:v>
      </x:c>
      <x:c r="C109" t="str">
        <x:v>Telangana</x:v>
      </x:c>
      <x:c r="D109" t="str">
        <x:v>Hyderabad</x:v>
      </x:c>
      <x:c r="E109" t="str">
        <x:v>Fashion</x:v>
      </x:c>
      <x:c r="F109" t="str">
        <x:v>Sneakers</x:v>
      </x:c>
      <x:c r="G109" t="str">
        <x:v>Corporate</x:v>
      </x:c>
      <x:c r="H109" t="str">
        <x:v>Mobile App</x:v>
      </x:c>
      <x:c r="I109" t="str">
        <x:v>UPI</x:v>
      </x:c>
      <x:c r="J109" t="n">
        <x:v>2</x:v>
      </x:c>
      <x:c r="K109" s="14" t="n">
        <x:v>2799</x:v>
      </x:c>
      <x:c r="L109" s="16" t="n">
        <x:v>0.1</x:v>
      </x:c>
      <x:c r="M109" t="str">
        <x:v>Rohan</x:v>
      </x:c>
      <x:c r="N109" t="n">
        <x:v>3</x:v>
      </x:c>
      <x:c r="O109" s="18" t="n">
        <x:v>4</x:v>
      </x:c>
      <x:c r="P109" s="14" t="n">
        <x:f>J109*K109</x:f>
        <x:v>5598</x:v>
      </x:c>
      <x:c r="Q109" s="14" t="n">
        <x:f>P109*(1-L109)</x:f>
        <x:v>5038.2</x:v>
      </x:c>
      <x:c r="R109" s="14" t="n">
        <x:f>Q109*(0.24+MOD(ROW(),7)*0.005)</x:f>
        <x:v>1309.932</x:v>
      </x:c>
    </x:row>
    <x:row r="110">
      <x:c r="A110" s="12" t="n">
        <x:v>46156</x:v>
      </x:c>
      <x:c r="B110" t="str">
        <x:v>EC26-0109</x:v>
      </x:c>
      <x:c r="C110" t="str">
        <x:v>Tamil Nadu</x:v>
      </x:c>
      <x:c r="D110" t="str">
        <x:v>Chennai</x:v>
      </x:c>
      <x:c r="E110" t="str">
        <x:v>Grocery</x:v>
      </x:c>
      <x:c r="F110" t="str">
        <x:v>Protein Bars</x:v>
      </x:c>
      <x:c r="G110" t="str">
        <x:v>Small Business</x:v>
      </x:c>
      <x:c r="H110" t="str">
        <x:v>Mobile App</x:v>
      </x:c>
      <x:c r="I110" t="str">
        <x:v>Debit Card</x:v>
      </x:c>
      <x:c r="J110" t="n">
        <x:v>1</x:v>
      </x:c>
      <x:c r="K110" s="14" t="n">
        <x:v>899</x:v>
      </x:c>
      <x:c r="L110" s="16" t="n">
        <x:v>0.15</x:v>
      </x:c>
      <x:c r="M110" t="str">
        <x:v>Rohan</x:v>
      </x:c>
      <x:c r="N110" t="n">
        <x:v>2</x:v>
      </x:c>
      <x:c r="O110" s="18" t="n">
        <x:v>4.5</x:v>
      </x:c>
      <x:c r="P110" s="14" t="n">
        <x:f>J110*K110</x:f>
        <x:v>899</x:v>
      </x:c>
      <x:c r="Q110" s="14" t="n">
        <x:f>P110*(1-L110)</x:f>
        <x:v>764.15</x:v>
      </x:c>
      <x:c r="R110" s="14" t="n">
        <x:f>Q110*(0.24+MOD(ROW(),7)*0.005)</x:f>
        <x:v>202.49975</x:v>
      </x:c>
    </x:row>
    <x:row r="111">
      <x:c r="A111" s="12" t="n">
        <x:v>46023</x:v>
      </x:c>
      <x:c r="B111" t="str">
        <x:v>EC26-0110</x:v>
      </x:c>
      <x:c r="C111" t="str">
        <x:v>Tamil Nadu</x:v>
      </x:c>
      <x:c r="D111" t="str">
        <x:v>Chennai</x:v>
      </x:c>
      <x:c r="E111" t="str">
        <x:v>Grocery</x:v>
      </x:c>
      <x:c r="F111" t="str">
        <x:v>Healthy Snacks</x:v>
      </x:c>
      <x:c r="G111" t="str">
        <x:v>Small Business</x:v>
      </x:c>
      <x:c r="H111" t="str">
        <x:v>Marketplace</x:v>
      </x:c>
      <x:c r="I111" t="str">
        <x:v>UPI</x:v>
      </x:c>
      <x:c r="J111" t="n">
        <x:v>1</x:v>
      </x:c>
      <x:c r="K111" s="14" t="n">
        <x:v>599</x:v>
      </x:c>
      <x:c r="L111" s="16" t="n">
        <x:v>0.05</x:v>
      </x:c>
      <x:c r="M111" t="str">
        <x:v>Simran</x:v>
      </x:c>
      <x:c r="N111" t="n">
        <x:v>3</x:v>
      </x:c>
      <x:c r="O111" s="18" t="n">
        <x:v>4.5</x:v>
      </x:c>
      <x:c r="P111" s="14" t="n">
        <x:f>J111*K111</x:f>
        <x:v>599</x:v>
      </x:c>
      <x:c r="Q111" s="14" t="n">
        <x:f>P111*(1-L111)</x:f>
        <x:v>569.05</x:v>
      </x:c>
      <x:c r="R111" s="14" t="n">
        <x:f>Q111*(0.24+MOD(ROW(),7)*0.005)</x:f>
        <x:v>153.6435</x:v>
      </x:c>
    </x:row>
    <x:row r="112">
      <x:c r="A112" s="12" t="n">
        <x:v>46259</x:v>
      </x:c>
      <x:c r="B112" t="str">
        <x:v>EC26-0111</x:v>
      </x:c>
      <x:c r="C112" t="str">
        <x:v>Kerala</x:v>
      </x:c>
      <x:c r="D112" t="str">
        <x:v>Kochi</x:v>
      </x:c>
      <x:c r="E112" t="str">
        <x:v>Beauty</x:v>
      </x:c>
      <x:c r="F112" t="str">
        <x:v>Face Serum</x:v>
      </x:c>
      <x:c r="G112" t="str">
        <x:v>Corporate</x:v>
      </x:c>
      <x:c r="H112" t="str">
        <x:v>Marketplace</x:v>
      </x:c>
      <x:c r="I112" t="str">
        <x:v>COD</x:v>
      </x:c>
      <x:c r="J112" t="n">
        <x:v>5</x:v>
      </x:c>
      <x:c r="K112" s="14" t="n">
        <x:v>799</x:v>
      </x:c>
      <x:c r="L112" s="16" t="n">
        <x:v>0.15</x:v>
      </x:c>
      <x:c r="M112" t="str">
        <x:v>Simran</x:v>
      </x:c>
      <x:c r="N112" t="n">
        <x:v>4</x:v>
      </x:c>
      <x:c r="O112" s="18" t="n">
        <x:v>4</x:v>
      </x:c>
      <x:c r="P112" s="14" t="n">
        <x:f>J112*K112</x:f>
        <x:v>3995</x:v>
      </x:c>
      <x:c r="Q112" s="14" t="n">
        <x:f>P112*(1-L112)</x:f>
        <x:v>3395.75</x:v>
      </x:c>
      <x:c r="R112" s="14" t="n">
        <x:f>Q112*(0.24+MOD(ROW(),7)*0.005)</x:f>
        <x:v>814.98</x:v>
      </x:c>
    </x:row>
    <x:row r="113">
      <x:c r="A113" s="12" t="n">
        <x:v>46205</x:v>
      </x:c>
      <x:c r="B113" t="str">
        <x:v>EC26-0112</x:v>
      </x:c>
      <x:c r="C113" t="str">
        <x:v>Gujarat</x:v>
      </x:c>
      <x:c r="D113" t="str">
        <x:v>Ahmedabad</x:v>
      </x:c>
      <x:c r="E113" t="str">
        <x:v>Home</x:v>
      </x:c>
      <x:c r="F113" t="str">
        <x:v>LED Lamp</x:v>
      </x:c>
      <x:c r="G113" t="str">
        <x:v>Corporate</x:v>
      </x:c>
      <x:c r="H113" t="str">
        <x:v>Mobile App</x:v>
      </x:c>
      <x:c r="I113" t="str">
        <x:v>COD</x:v>
      </x:c>
      <x:c r="J113" t="n">
        <x:v>3</x:v>
      </x:c>
      <x:c r="K113" s="14" t="n">
        <x:v>899</x:v>
      </x:c>
      <x:c r="L113" s="16" t="n">
        <x:v>0</x:v>
      </x:c>
      <x:c r="M113" t="str">
        <x:v>Aarav</x:v>
      </x:c>
      <x:c r="N113" t="n">
        <x:v>4</x:v>
      </x:c>
      <x:c r="O113" s="18" t="n">
        <x:v>5</x:v>
      </x:c>
      <x:c r="P113" s="14" t="n">
        <x:f>J113*K113</x:f>
        <x:v>2697</x:v>
      </x:c>
      <x:c r="Q113" s="14" t="n">
        <x:f>P113*(1-L113)</x:f>
        <x:v>2697</x:v>
      </x:c>
      <x:c r="R113" s="14" t="n">
        <x:f>Q113*(0.24+MOD(ROW(),7)*0.005)</x:f>
        <x:v>660.765</x:v>
      </x:c>
    </x:row>
    <x:row r="114">
      <x:c r="A114" s="12" t="n">
        <x:v>46173</x:v>
      </x:c>
      <x:c r="B114" t="str">
        <x:v>EC26-0113</x:v>
      </x:c>
      <x:c r="C114" t="str">
        <x:v>Rajasthan</x:v>
      </x:c>
      <x:c r="D114" t="str">
        <x:v>Jaipur</x:v>
      </x:c>
      <x:c r="E114" t="str">
        <x:v>Grocery</x:v>
      </x:c>
      <x:c r="F114" t="str">
        <x:v>Dry Fruits Pack</x:v>
      </x:c>
      <x:c r="G114" t="str">
        <x:v>Corporate</x:v>
      </x:c>
      <x:c r="H114" t="str">
        <x:v>Mobile App</x:v>
      </x:c>
      <x:c r="I114" t="str">
        <x:v>COD</x:v>
      </x:c>
      <x:c r="J114" t="n">
        <x:v>1</x:v>
      </x:c>
      <x:c r="K114" s="14" t="n">
        <x:v>999</x:v>
      </x:c>
      <x:c r="L114" s="16" t="n">
        <x:v>0.05</x:v>
      </x:c>
      <x:c r="M114" t="str">
        <x:v>Rohan</x:v>
      </x:c>
      <x:c r="N114" t="n">
        <x:v>6</x:v>
      </x:c>
      <x:c r="O114" s="18" t="n">
        <x:v>5</x:v>
      </x:c>
      <x:c r="P114" s="14" t="n">
        <x:f>J114*K114</x:f>
        <x:v>999</x:v>
      </x:c>
      <x:c r="Q114" s="14" t="n">
        <x:f>P114*(1-L114)</x:f>
        <x:v>949.05</x:v>
      </x:c>
      <x:c r="R114" s="14" t="n">
        <x:f>Q114*(0.24+MOD(ROW(),7)*0.005)</x:f>
        <x:v>237.2625</x:v>
      </x:c>
    </x:row>
    <x:row r="115">
      <x:c r="A115" s="12" t="n">
        <x:v>46154</x:v>
      </x:c>
      <x:c r="B115" t="str">
        <x:v>EC26-0114</x:v>
      </x:c>
      <x:c r="C115" t="str">
        <x:v>Maharashtra</x:v>
      </x:c>
      <x:c r="D115" t="str">
        <x:v>Mumbai</x:v>
      </x:c>
      <x:c r="E115" t="str">
        <x:v>Fashion</x:v>
      </x:c>
      <x:c r="F115" t="str">
        <x:v>Hoodie</x:v>
      </x:c>
      <x:c r="G115" t="str">
        <x:v>Consumer</x:v>
      </x:c>
      <x:c r="H115" t="str">
        <x:v>Website</x:v>
      </x:c>
      <x:c r="I115" t="str">
        <x:v>Debit Card</x:v>
      </x:c>
      <x:c r="J115" t="n">
        <x:v>1</x:v>
      </x:c>
      <x:c r="K115" s="14" t="n">
        <x:v>1999</x:v>
      </x:c>
      <x:c r="L115" s="16" t="n">
        <x:v>0.02</x:v>
      </x:c>
      <x:c r="M115" t="str">
        <x:v>Anaya</x:v>
      </x:c>
      <x:c r="N115" t="n">
        <x:v>2</x:v>
      </x:c>
      <x:c r="O115" s="18" t="n">
        <x:v>4.5</x:v>
      </x:c>
      <x:c r="P115" s="14" t="n">
        <x:f>J115*K115</x:f>
        <x:v>1999</x:v>
      </x:c>
      <x:c r="Q115" s="14" t="n">
        <x:f>P115*(1-L115)</x:f>
        <x:v>1959.02</x:v>
      </x:c>
      <x:c r="R115" s="14" t="n">
        <x:f>Q115*(0.24+MOD(ROW(),7)*0.005)</x:f>
        <x:v>499.5501</x:v>
      </x:c>
    </x:row>
    <x:row r="116">
      <x:c r="A116" s="12" t="n">
        <x:v>46287</x:v>
      </x:c>
      <x:c r="B116" t="str">
        <x:v>EC26-0115</x:v>
      </x:c>
      <x:c r="C116" t="str">
        <x:v>Madhya Pradesh</x:v>
      </x:c>
      <x:c r="D116" t="str">
        <x:v>Indore</x:v>
      </x:c>
      <x:c r="E116" t="str">
        <x:v>Grocery</x:v>
      </x:c>
      <x:c r="F116" t="str">
        <x:v>Dry Fruits Pack</x:v>
      </x:c>
      <x:c r="G116" t="str">
        <x:v>Corporate</x:v>
      </x:c>
      <x:c r="H116" t="str">
        <x:v>Website</x:v>
      </x:c>
      <x:c r="I116" t="str">
        <x:v>UPI</x:v>
      </x:c>
      <x:c r="J116" t="n">
        <x:v>1</x:v>
      </x:c>
      <x:c r="K116" s="14" t="n">
        <x:v>999</x:v>
      </x:c>
      <x:c r="L116" s="16" t="n">
        <x:v>0</x:v>
      </x:c>
      <x:c r="M116" t="str">
        <x:v>Ishita</x:v>
      </x:c>
      <x:c r="N116" t="n">
        <x:v>5</x:v>
      </x:c>
      <x:c r="O116" s="18" t="n">
        <x:v>5</x:v>
      </x:c>
      <x:c r="P116" s="14" t="n">
        <x:f>J116*K116</x:f>
        <x:v>999</x:v>
      </x:c>
      <x:c r="Q116" s="14" t="n">
        <x:f>P116*(1-L116)</x:f>
        <x:v>999</x:v>
      </x:c>
      <x:c r="R116" s="14" t="n">
        <x:f>Q116*(0.24+MOD(ROW(),7)*0.005)</x:f>
        <x:v>259.74</x:v>
      </x:c>
    </x:row>
    <x:row r="117">
      <x:c r="A117" s="12" t="n">
        <x:v>46059</x:v>
      </x:c>
      <x:c r="B117" t="str">
        <x:v>EC26-0116</x:v>
      </x:c>
      <x:c r="C117" t="str">
        <x:v>Kerala</x:v>
      </x:c>
      <x:c r="D117" t="str">
        <x:v>Kochi</x:v>
      </x:c>
      <x:c r="E117" t="str">
        <x:v>Beauty</x:v>
      </x:c>
      <x:c r="F117" t="str">
        <x:v>Face Serum</x:v>
      </x:c>
      <x:c r="G117" t="str">
        <x:v>Small Business</x:v>
      </x:c>
      <x:c r="H117" t="str">
        <x:v>Marketplace</x:v>
      </x:c>
      <x:c r="I117" t="str">
        <x:v>UPI</x:v>
      </x:c>
      <x:c r="J117" t="n">
        <x:v>1</x:v>
      </x:c>
      <x:c r="K117" s="14" t="n">
        <x:v>799</x:v>
      </x:c>
      <x:c r="L117" s="16" t="n">
        <x:v>0.15</x:v>
      </x:c>
      <x:c r="M117" t="str">
        <x:v>Rohan</x:v>
      </x:c>
      <x:c r="N117" t="n">
        <x:v>3</x:v>
      </x:c>
      <x:c r="O117" s="18" t="n">
        <x:v>4</x:v>
      </x:c>
      <x:c r="P117" s="14" t="n">
        <x:f>J117*K117</x:f>
        <x:v>799</x:v>
      </x:c>
      <x:c r="Q117" s="14" t="n">
        <x:f>P117*(1-L117)</x:f>
        <x:v>679.15</x:v>
      </x:c>
      <x:c r="R117" s="14" t="n">
        <x:f>Q117*(0.24+MOD(ROW(),7)*0.005)</x:f>
        <x:v>179.97475</x:v>
      </x:c>
    </x:row>
    <x:row r="118">
      <x:c r="A118" s="12" t="n">
        <x:v>46369</x:v>
      </x:c>
      <x:c r="B118" t="str">
        <x:v>EC26-0117</x:v>
      </x:c>
      <x:c r="C118" t="str">
        <x:v>West Bengal</x:v>
      </x:c>
      <x:c r="D118" t="str">
        <x:v>Kolkata</x:v>
      </x:c>
      <x:c r="E118" t="str">
        <x:v>Fashion</x:v>
      </x:c>
      <x:c r="F118" t="str">
        <x:v>Running Shoes</x:v>
      </x:c>
      <x:c r="G118" t="str">
        <x:v>Corporate</x:v>
      </x:c>
      <x:c r="H118" t="str">
        <x:v>Marketplace</x:v>
      </x:c>
      <x:c r="I118" t="str">
        <x:v>Wallet</x:v>
      </x:c>
      <x:c r="J118" t="n">
        <x:v>1</x:v>
      </x:c>
      <x:c r="K118" s="14" t="n">
        <x:v>3499</x:v>
      </x:c>
      <x:c r="L118" s="16" t="n">
        <x:v>0.02</x:v>
      </x:c>
      <x:c r="M118" t="str">
        <x:v>Kabir</x:v>
      </x:c>
      <x:c r="N118" t="n">
        <x:v>4</x:v>
      </x:c>
      <x:c r="O118" s="18" t="n">
        <x:v>4.5</x:v>
      </x:c>
      <x:c r="P118" s="14" t="n">
        <x:f>J118*K118</x:f>
        <x:v>3499</x:v>
      </x:c>
      <x:c r="Q118" s="14" t="n">
        <x:f>P118*(1-L118)</x:f>
        <x:v>3429.02</x:v>
      </x:c>
      <x:c r="R118" s="14" t="n">
        <x:f>Q118*(0.24+MOD(ROW(),7)*0.005)</x:f>
        <x:v>925.8354</x:v>
      </x:c>
    </x:row>
    <x:row r="119">
      <x:c r="A119" s="12" t="n">
        <x:v>46058</x:v>
      </x:c>
      <x:c r="B119" t="str">
        <x:v>EC26-0118</x:v>
      </x:c>
      <x:c r="C119" t="str">
        <x:v>West Bengal</x:v>
      </x:c>
      <x:c r="D119" t="str">
        <x:v>Kolkata</x:v>
      </x:c>
      <x:c r="E119" t="str">
        <x:v>Grocery</x:v>
      </x:c>
      <x:c r="F119" t="str">
        <x:v>Protein Bars</x:v>
      </x:c>
      <x:c r="G119" t="str">
        <x:v>Small Business</x:v>
      </x:c>
      <x:c r="H119" t="str">
        <x:v>Marketplace</x:v>
      </x:c>
      <x:c r="I119" t="str">
        <x:v>Credit Card</x:v>
      </x:c>
      <x:c r="J119" t="n">
        <x:v>3</x:v>
      </x:c>
      <x:c r="K119" s="14" t="n">
        <x:v>899</x:v>
      </x:c>
      <x:c r="L119" s="16" t="n">
        <x:v>0.07</x:v>
      </x:c>
      <x:c r="M119" t="str">
        <x:v>Aarav</x:v>
      </x:c>
      <x:c r="N119" t="n">
        <x:v>3</x:v>
      </x:c>
      <x:c r="O119" s="18" t="n">
        <x:v>5</x:v>
      </x:c>
      <x:c r="P119" s="14" t="n">
        <x:f>J119*K119</x:f>
        <x:v>2697</x:v>
      </x:c>
      <x:c r="Q119" s="14" t="n">
        <x:f>P119*(1-L119)</x:f>
        <x:v>2508.21</x:v>
      </x:c>
      <x:c r="R119" s="14" t="n">
        <x:f>Q119*(0.24+MOD(ROW(),7)*0.005)</x:f>
        <x:v>601.9704</x:v>
      </x:c>
    </x:row>
    <x:row r="120">
      <x:c r="A120" s="12" t="n">
        <x:v>46088</x:v>
      </x:c>
      <x:c r="B120" t="str">
        <x:v>EC26-0119</x:v>
      </x:c>
      <x:c r="C120" t="str">
        <x:v>Gujarat</x:v>
      </x:c>
      <x:c r="D120" t="str">
        <x:v>Ahmedabad</x:v>
      </x:c>
      <x:c r="E120" t="str">
        <x:v>Fashion</x:v>
      </x:c>
      <x:c r="F120" t="str">
        <x:v>Denim Jacket</x:v>
      </x:c>
      <x:c r="G120" t="str">
        <x:v>Small Business</x:v>
      </x:c>
      <x:c r="H120" t="str">
        <x:v>Marketplace</x:v>
      </x:c>
      <x:c r="I120" t="str">
        <x:v>Credit Card</x:v>
      </x:c>
      <x:c r="J120" t="n">
        <x:v>4</x:v>
      </x:c>
      <x:c r="K120" s="14" t="n">
        <x:v>2999</x:v>
      </x:c>
      <x:c r="L120" s="16" t="n">
        <x:v>0.07</x:v>
      </x:c>
      <x:c r="M120" t="str">
        <x:v>Meera</x:v>
      </x:c>
      <x:c r="N120" t="n">
        <x:v>3</x:v>
      </x:c>
      <x:c r="O120" s="18" t="n">
        <x:v>5</x:v>
      </x:c>
      <x:c r="P120" s="14" t="n">
        <x:f>J120*K120</x:f>
        <x:v>11996</x:v>
      </x:c>
      <x:c r="Q120" s="14" t="n">
        <x:f>P120*(1-L120)</x:f>
        <x:v>11156.279999999999</x:v>
      </x:c>
      <x:c r="R120" s="14" t="n">
        <x:f>Q120*(0.24+MOD(ROW(),7)*0.005)</x:f>
        <x:v>2733.2886</x:v>
      </x:c>
    </x:row>
    <x:row r="121">
      <x:c r="A121" s="12" t="n">
        <x:v>46376</x:v>
      </x:c>
      <x:c r="B121" t="str">
        <x:v>EC26-0120</x:v>
      </x:c>
      <x:c r="C121" t="str">
        <x:v>Telangana</x:v>
      </x:c>
      <x:c r="D121" t="str">
        <x:v>Hyderabad</x:v>
      </x:c>
      <x:c r="E121" t="str">
        <x:v>Electronics</x:v>
      </x:c>
      <x:c r="F121" t="str">
        <x:v>Wireless Earbuds</x:v>
      </x:c>
      <x:c r="G121" t="str">
        <x:v>Consumer</x:v>
      </x:c>
      <x:c r="H121" t="str">
        <x:v>Mobile App</x:v>
      </x:c>
      <x:c r="I121" t="str">
        <x:v>COD</x:v>
      </x:c>
      <x:c r="J121" t="n">
        <x:v>1</x:v>
      </x:c>
      <x:c r="K121" s="14" t="n">
        <x:v>2499</x:v>
      </x:c>
      <x:c r="L121" s="16" t="n">
        <x:v>0.07</x:v>
      </x:c>
      <x:c r="M121" t="str">
        <x:v>Ishita</x:v>
      </x:c>
      <x:c r="N121" t="n">
        <x:v>5</x:v>
      </x:c>
      <x:c r="O121" s="18" t="n">
        <x:v>3</x:v>
      </x:c>
      <x:c r="P121" s="14" t="n">
        <x:f>J121*K121</x:f>
        <x:v>2499</x:v>
      </x:c>
      <x:c r="Q121" s="14" t="n">
        <x:f>P121*(1-L121)</x:f>
        <x:v>2324.0699999999997</x:v>
      </x:c>
      <x:c r="R121" s="14" t="n">
        <x:f>Q121*(0.24+MOD(ROW(),7)*0.005)</x:f>
        <x:v>581.0174999999999</x:v>
      </x:c>
    </x:row>
    <x:row r="122">
      <x:c r="A122" s="12" t="n">
        <x:v>46318</x:v>
      </x:c>
      <x:c r="B122" t="str">
        <x:v>EC26-0121</x:v>
      </x:c>
      <x:c r="C122" t="str">
        <x:v>Madhya Pradesh</x:v>
      </x:c>
      <x:c r="D122" t="str">
        <x:v>Indore</x:v>
      </x:c>
      <x:c r="E122" t="str">
        <x:v>Electronics</x:v>
      </x:c>
      <x:c r="F122" t="str">
        <x:v>Bluetooth Speaker</x:v>
      </x:c>
      <x:c r="G122" t="str">
        <x:v>Corporate</x:v>
      </x:c>
      <x:c r="H122" t="str">
        <x:v>Mobile App</x:v>
      </x:c>
      <x:c r="I122" t="str">
        <x:v>UPI</x:v>
      </x:c>
      <x:c r="J122" t="n">
        <x:v>2</x:v>
      </x:c>
      <x:c r="K122" s="14" t="n">
        <x:v>2999</x:v>
      </x:c>
      <x:c r="L122" s="16" t="n">
        <x:v>0.02</x:v>
      </x:c>
      <x:c r="M122" t="str">
        <x:v>Rohan</x:v>
      </x:c>
      <x:c r="N122" t="n">
        <x:v>4</x:v>
      </x:c>
      <x:c r="O122" s="18" t="n">
        <x:v>3.5</x:v>
      </x:c>
      <x:c r="P122" s="14" t="n">
        <x:f>J122*K122</x:f>
        <x:v>5998</x:v>
      </x:c>
      <x:c r="Q122" s="14" t="n">
        <x:f>P122*(1-L122)</x:f>
        <x:v>5878.04</x:v>
      </x:c>
      <x:c r="R122" s="14" t="n">
        <x:f>Q122*(0.24+MOD(ROW(),7)*0.005)</x:f>
        <x:v>1498.9002</x:v>
      </x:c>
    </x:row>
    <x:row r="123">
      <x:c r="A123" s="12" t="n">
        <x:v>46301</x:v>
      </x:c>
      <x:c r="B123" t="str">
        <x:v>EC26-0122</x:v>
      </x:c>
      <x:c r="C123" t="str">
        <x:v>Karnataka</x:v>
      </x:c>
      <x:c r="D123" t="str">
        <x:v>Bengaluru</x:v>
      </x:c>
      <x:c r="E123" t="str">
        <x:v>Fashion</x:v>
      </x:c>
      <x:c r="F123" t="str">
        <x:v>Backpack</x:v>
      </x:c>
      <x:c r="G123" t="str">
        <x:v>Consumer</x:v>
      </x:c>
      <x:c r="H123" t="str">
        <x:v>Website</x:v>
      </x:c>
      <x:c r="I123" t="str">
        <x:v>Credit Card</x:v>
      </x:c>
      <x:c r="J123" t="n">
        <x:v>2</x:v>
      </x:c>
      <x:c r="K123" s="14" t="n">
        <x:v>1799</x:v>
      </x:c>
      <x:c r="L123" s="16" t="n">
        <x:v>0.15</x:v>
      </x:c>
      <x:c r="M123" t="str">
        <x:v>Meera</x:v>
      </x:c>
      <x:c r="N123" t="n">
        <x:v>4</x:v>
      </x:c>
      <x:c r="O123" s="18" t="n">
        <x:v>4.5</x:v>
      </x:c>
      <x:c r="P123" s="14" t="n">
        <x:f>J123*K123</x:f>
        <x:v>3598</x:v>
      </x:c>
      <x:c r="Q123" s="14" t="n">
        <x:f>P123*(1-L123)</x:f>
        <x:v>3058.2999999999997</x:v>
      </x:c>
      <x:c r="R123" s="14" t="n">
        <x:f>Q123*(0.24+MOD(ROW(),7)*0.005)</x:f>
        <x:v>795.1579999999999</x:v>
      </x:c>
    </x:row>
    <x:row r="124">
      <x:c r="A124" s="12" t="n">
        <x:v>46222</x:v>
      </x:c>
      <x:c r="B124" t="str">
        <x:v>EC26-0123</x:v>
      </x:c>
      <x:c r="C124" t="str">
        <x:v>Telangana</x:v>
      </x:c>
      <x:c r="D124" t="str">
        <x:v>Hyderabad</x:v>
      </x:c>
      <x:c r="E124" t="str">
        <x:v>Grocery</x:v>
      </x:c>
      <x:c r="F124" t="str">
        <x:v>Protein Bars</x:v>
      </x:c>
      <x:c r="G124" t="str">
        <x:v>Consumer</x:v>
      </x:c>
      <x:c r="H124" t="str">
        <x:v>Mobile App</x:v>
      </x:c>
      <x:c r="I124" t="str">
        <x:v>COD</x:v>
      </x:c>
      <x:c r="J124" t="n">
        <x:v>1</x:v>
      </x:c>
      <x:c r="K124" s="14" t="n">
        <x:v>899</x:v>
      </x:c>
      <x:c r="L124" s="16" t="n">
        <x:v>0.02</x:v>
      </x:c>
      <x:c r="M124" t="str">
        <x:v>Ishita</x:v>
      </x:c>
      <x:c r="N124" t="n">
        <x:v>5</x:v>
      </x:c>
      <x:c r="O124" s="18" t="n">
        <x:v>4.5</x:v>
      </x:c>
      <x:c r="P124" s="14" t="n">
        <x:f>J124*K124</x:f>
        <x:v>899</x:v>
      </x:c>
      <x:c r="Q124" s="14" t="n">
        <x:f>P124*(1-L124)</x:f>
        <x:v>881.02</x:v>
      </x:c>
      <x:c r="R124" s="14" t="n">
        <x:f>Q124*(0.24+MOD(ROW(),7)*0.005)</x:f>
        <x:v>233.4703</x:v>
      </x:c>
    </x:row>
    <x:row r="125">
      <x:c r="A125" s="12" t="n">
        <x:v>46342</x:v>
      </x:c>
      <x:c r="B125" t="str">
        <x:v>EC26-0124</x:v>
      </x:c>
      <x:c r="C125" t="str">
        <x:v>Telangana</x:v>
      </x:c>
      <x:c r="D125" t="str">
        <x:v>Hyderabad</x:v>
      </x:c>
      <x:c r="E125" t="str">
        <x:v>Grocery</x:v>
      </x:c>
      <x:c r="F125" t="str">
        <x:v>Dry Fruits Pack</x:v>
      </x:c>
      <x:c r="G125" t="str">
        <x:v>Consumer</x:v>
      </x:c>
      <x:c r="H125" t="str">
        <x:v>Marketplace</x:v>
      </x:c>
      <x:c r="I125" t="str">
        <x:v>Debit Card</x:v>
      </x:c>
      <x:c r="J125" t="n">
        <x:v>5</x:v>
      </x:c>
      <x:c r="K125" s="14" t="n">
        <x:v>999</x:v>
      </x:c>
      <x:c r="L125" s="16" t="n">
        <x:v>0.05</x:v>
      </x:c>
      <x:c r="M125" t="str">
        <x:v>Anaya</x:v>
      </x:c>
      <x:c r="N125" t="n">
        <x:v>4</x:v>
      </x:c>
      <x:c r="O125" s="18" t="n">
        <x:v>3</x:v>
      </x:c>
      <x:c r="P125" s="14" t="n">
        <x:f>J125*K125</x:f>
        <x:v>4995</x:v>
      </x:c>
      <x:c r="Q125" s="14" t="n">
        <x:f>P125*(1-L125)</x:f>
        <x:v>4745.25</x:v>
      </x:c>
      <x:c r="R125" s="14" t="n">
        <x:f>Q125*(0.24+MOD(ROW(),7)*0.005)</x:f>
        <x:v>1281.2175</x:v>
      </x:c>
    </x:row>
    <x:row r="126">
      <x:c r="A126" s="12" t="n">
        <x:v>46179</x:v>
      </x:c>
      <x:c r="B126" t="str">
        <x:v>EC26-0125</x:v>
      </x:c>
      <x:c r="C126" t="str">
        <x:v>Delhi</x:v>
      </x:c>
      <x:c r="D126" t="str">
        <x:v>New Delhi</x:v>
      </x:c>
      <x:c r="E126" t="str">
        <x:v>Home</x:v>
      </x:c>
      <x:c r="F126" t="str">
        <x:v>Coffee Maker</x:v>
      </x:c>
      <x:c r="G126" t="str">
        <x:v>Small Business</x:v>
      </x:c>
      <x:c r="H126" t="str">
        <x:v>Website</x:v>
      </x:c>
      <x:c r="I126" t="str">
        <x:v>Credit Card</x:v>
      </x:c>
      <x:c r="J126" t="n">
        <x:v>1</x:v>
      </x:c>
      <x:c r="K126" s="14" t="n">
        <x:v>4499</x:v>
      </x:c>
      <x:c r="L126" s="16" t="n">
        <x:v>0.15</x:v>
      </x:c>
      <x:c r="M126" t="str">
        <x:v>Rohan</x:v>
      </x:c>
      <x:c r="N126" t="n">
        <x:v>2</x:v>
      </x:c>
      <x:c r="O126" s="18" t="n">
        <x:v>5</x:v>
      </x:c>
      <x:c r="P126" s="14" t="n">
        <x:f>J126*K126</x:f>
        <x:v>4499</x:v>
      </x:c>
      <x:c r="Q126" s="14" t="n">
        <x:f>P126*(1-L126)</x:f>
        <x:v>3824.15</x:v>
      </x:c>
      <x:c r="R126" s="14" t="n">
        <x:f>Q126*(0.24+MOD(ROW(),7)*0.005)</x:f>
        <x:v>917.7959999999999</x:v>
      </x:c>
    </x:row>
    <x:row r="127">
      <x:c r="A127" s="12" t="n">
        <x:v>46235</x:v>
      </x:c>
      <x:c r="B127" t="str">
        <x:v>EC26-0126</x:v>
      </x:c>
      <x:c r="C127" t="str">
        <x:v>Karnataka</x:v>
      </x:c>
      <x:c r="D127" t="str">
        <x:v>Bengaluru</x:v>
      </x:c>
      <x:c r="E127" t="str">
        <x:v>Beauty</x:v>
      </x:c>
      <x:c r="F127" t="str">
        <x:v>Skincare Kit</x:v>
      </x:c>
      <x:c r="G127" t="str">
        <x:v>Small Business</x:v>
      </x:c>
      <x:c r="H127" t="str">
        <x:v>Website</x:v>
      </x:c>
      <x:c r="I127" t="str">
        <x:v>UPI</x:v>
      </x:c>
      <x:c r="J127" t="n">
        <x:v>1</x:v>
      </x:c>
      <x:c r="K127" s="14" t="n">
        <x:v>1299</x:v>
      </x:c>
      <x:c r="L127" s="16" t="n">
        <x:v>0.02</x:v>
      </x:c>
      <x:c r="M127" t="str">
        <x:v>Rohan</x:v>
      </x:c>
      <x:c r="N127" t="n">
        <x:v>4</x:v>
      </x:c>
      <x:c r="O127" s="18" t="n">
        <x:v>3.5</x:v>
      </x:c>
      <x:c r="P127" s="14" t="n">
        <x:f>J127*K127</x:f>
        <x:v>1299</x:v>
      </x:c>
      <x:c r="Q127" s="14" t="n">
        <x:f>P127*(1-L127)</x:f>
        <x:v>1273.02</x:v>
      </x:c>
      <x:c r="R127" s="14" t="n">
        <x:f>Q127*(0.24+MOD(ROW(),7)*0.005)</x:f>
        <x:v>311.8899</x:v>
      </x:c>
    </x:row>
    <x:row r="128">
      <x:c r="A128" s="12" t="n">
        <x:v>46126</x:v>
      </x:c>
      <x:c r="B128" t="str">
        <x:v>EC26-0127</x:v>
      </x:c>
      <x:c r="C128" t="str">
        <x:v>Madhya Pradesh</x:v>
      </x:c>
      <x:c r="D128" t="str">
        <x:v>Indore</x:v>
      </x:c>
      <x:c r="E128" t="str">
        <x:v>Fashion</x:v>
      </x:c>
      <x:c r="F128" t="str">
        <x:v>Sneakers</x:v>
      </x:c>
      <x:c r="G128" t="str">
        <x:v>Consumer</x:v>
      </x:c>
      <x:c r="H128" t="str">
        <x:v>Website</x:v>
      </x:c>
      <x:c r="I128" t="str">
        <x:v>Debit Card</x:v>
      </x:c>
      <x:c r="J128" t="n">
        <x:v>1</x:v>
      </x:c>
      <x:c r="K128" s="14" t="n">
        <x:v>2799</x:v>
      </x:c>
      <x:c r="L128" s="16" t="n">
        <x:v>0.05</x:v>
      </x:c>
      <x:c r="M128" t="str">
        <x:v>Ishita</x:v>
      </x:c>
      <x:c r="N128" t="n">
        <x:v>3</x:v>
      </x:c>
      <x:c r="O128" s="18" t="n">
        <x:v>5</x:v>
      </x:c>
      <x:c r="P128" s="14" t="n">
        <x:f>J128*K128</x:f>
        <x:v>2799</x:v>
      </x:c>
      <x:c r="Q128" s="14" t="n">
        <x:f>P128*(1-L128)</x:f>
        <x:v>2659.0499999999997</x:v>
      </x:c>
      <x:c r="R128" s="14" t="n">
        <x:f>Q128*(0.24+MOD(ROW(),7)*0.005)</x:f>
        <x:v>664.7624999999999</x:v>
      </x:c>
    </x:row>
    <x:row r="129">
      <x:c r="A129" s="12" t="n">
        <x:v>46233</x:v>
      </x:c>
      <x:c r="B129" t="str">
        <x:v>EC26-0128</x:v>
      </x:c>
      <x:c r="C129" t="str">
        <x:v>Madhya Pradesh</x:v>
      </x:c>
      <x:c r="D129" t="str">
        <x:v>Indore</x:v>
      </x:c>
      <x:c r="E129" t="str">
        <x:v>Home</x:v>
      </x:c>
      <x:c r="F129" t="str">
        <x:v>Storage Rack</x:v>
      </x:c>
      <x:c r="G129" t="str">
        <x:v>Consumer</x:v>
      </x:c>
      <x:c r="H129" t="str">
        <x:v>Mobile App</x:v>
      </x:c>
      <x:c r="I129" t="str">
        <x:v>Wallet</x:v>
      </x:c>
      <x:c r="J129" t="n">
        <x:v>3</x:v>
      </x:c>
      <x:c r="K129" s="14" t="n">
        <x:v>2299</x:v>
      </x:c>
      <x:c r="L129" s="16" t="n">
        <x:v>0.02</x:v>
      </x:c>
      <x:c r="M129" t="str">
        <x:v>Anaya</x:v>
      </x:c>
      <x:c r="N129" t="n">
        <x:v>6</x:v>
      </x:c>
      <x:c r="O129" s="18" t="n">
        <x:v>4.5</x:v>
      </x:c>
      <x:c r="P129" s="14" t="n">
        <x:f>J129*K129</x:f>
        <x:v>6897</x:v>
      </x:c>
      <x:c r="Q129" s="14" t="n">
        <x:f>P129*(1-L129)</x:f>
        <x:v>6759.0599999999995</x:v>
      </x:c>
      <x:c r="R129" s="14" t="n">
        <x:f>Q129*(0.24+MOD(ROW(),7)*0.005)</x:f>
        <x:v>1723.5602999999999</x:v>
      </x:c>
    </x:row>
    <x:row r="130">
      <x:c r="A130" s="12" t="n">
        <x:v>46242</x:v>
      </x:c>
      <x:c r="B130" t="str">
        <x:v>EC26-0129</x:v>
      </x:c>
      <x:c r="C130" t="str">
        <x:v>Maharashtra</x:v>
      </x:c>
      <x:c r="D130" t="str">
        <x:v>Mumbai</x:v>
      </x:c>
      <x:c r="E130" t="str">
        <x:v>Home</x:v>
      </x:c>
      <x:c r="F130" t="str">
        <x:v>LED Lamp</x:v>
      </x:c>
      <x:c r="G130" t="str">
        <x:v>Small Business</x:v>
      </x:c>
      <x:c r="H130" t="str">
        <x:v>Marketplace</x:v>
      </x:c>
      <x:c r="I130" t="str">
        <x:v>Wallet</x:v>
      </x:c>
      <x:c r="J130" t="n">
        <x:v>1</x:v>
      </x:c>
      <x:c r="K130" s="14" t="n">
        <x:v>899</x:v>
      </x:c>
      <x:c r="L130" s="16" t="n">
        <x:v>0.05</x:v>
      </x:c>
      <x:c r="M130" t="str">
        <x:v>Simran</x:v>
      </x:c>
      <x:c r="N130" t="n">
        <x:v>5</x:v>
      </x:c>
      <x:c r="O130" s="18" t="n">
        <x:v>4.5</x:v>
      </x:c>
      <x:c r="P130" s="14" t="n">
        <x:f>J130*K130</x:f>
        <x:v>899</x:v>
      </x:c>
      <x:c r="Q130" s="14" t="n">
        <x:f>P130*(1-L130)</x:f>
        <x:v>854.05</x:v>
      </x:c>
      <x:c r="R130" s="14" t="n">
        <x:f>Q130*(0.24+MOD(ROW(),7)*0.005)</x:f>
        <x:v>222.053</x:v>
      </x:c>
    </x:row>
    <x:row r="131">
      <x:c r="A131" s="12" t="n">
        <x:v>46064</x:v>
      </x:c>
      <x:c r="B131" t="str">
        <x:v>EC26-0130</x:v>
      </x:c>
      <x:c r="C131" t="str">
        <x:v>Madhya Pradesh</x:v>
      </x:c>
      <x:c r="D131" t="str">
        <x:v>Indore</x:v>
      </x:c>
      <x:c r="E131" t="str">
        <x:v>Electronics</x:v>
      </x:c>
      <x:c r="F131" t="str">
        <x:v>Power Bank</x:v>
      </x:c>
      <x:c r="G131" t="str">
        <x:v>Consumer</x:v>
      </x:c>
      <x:c r="H131" t="str">
        <x:v>Marketplace</x:v>
      </x:c>
      <x:c r="I131" t="str">
        <x:v>Wallet</x:v>
      </x:c>
      <x:c r="J131" t="n">
        <x:v>2</x:v>
      </x:c>
      <x:c r="K131" s="14" t="n">
        <x:v>1499</x:v>
      </x:c>
      <x:c r="L131" s="16" t="n">
        <x:v>0.12</x:v>
      </x:c>
      <x:c r="M131" t="str">
        <x:v>Aarav</x:v>
      </x:c>
      <x:c r="N131" t="n">
        <x:v>3</x:v>
      </x:c>
      <x:c r="O131" s="18" t="n">
        <x:v>5</x:v>
      </x:c>
      <x:c r="P131" s="14" t="n">
        <x:f>J131*K131</x:f>
        <x:v>2998</x:v>
      </x:c>
      <x:c r="Q131" s="14" t="n">
        <x:f>P131*(1-L131)</x:f>
        <x:v>2638.2400000000002</x:v>
      </x:c>
      <x:c r="R131" s="14" t="n">
        <x:f>Q131*(0.24+MOD(ROW(),7)*0.005)</x:f>
        <x:v>699.1336000000001</x:v>
      </x:c>
    </x:row>
    <x:row r="132">
      <x:c r="A132" s="12" t="n">
        <x:v>46265</x:v>
      </x:c>
      <x:c r="B132" t="str">
        <x:v>EC26-0131</x:v>
      </x:c>
      <x:c r="C132" t="str">
        <x:v>Gujarat</x:v>
      </x:c>
      <x:c r="D132" t="str">
        <x:v>Ahmedabad</x:v>
      </x:c>
      <x:c r="E132" t="str">
        <x:v>Electronics</x:v>
      </x:c>
      <x:c r="F132" t="str">
        <x:v>Bluetooth Speaker</x:v>
      </x:c>
      <x:c r="G132" t="str">
        <x:v>Consumer</x:v>
      </x:c>
      <x:c r="H132" t="str">
        <x:v>Website</x:v>
      </x:c>
      <x:c r="I132" t="str">
        <x:v>COD</x:v>
      </x:c>
      <x:c r="J132" t="n">
        <x:v>4</x:v>
      </x:c>
      <x:c r="K132" s="14" t="n">
        <x:v>2999</x:v>
      </x:c>
      <x:c r="L132" s="16" t="n">
        <x:v>0.05</x:v>
      </x:c>
      <x:c r="M132" t="str">
        <x:v>Meera</x:v>
      </x:c>
      <x:c r="N132" t="n">
        <x:v>4</x:v>
      </x:c>
      <x:c r="O132" s="18" t="n">
        <x:v>4</x:v>
      </x:c>
      <x:c r="P132" s="14" t="n">
        <x:f>J132*K132</x:f>
        <x:v>11996</x:v>
      </x:c>
      <x:c r="Q132" s="14" t="n">
        <x:f>P132*(1-L132)</x:f>
        <x:v>11396.199999999999</x:v>
      </x:c>
      <x:c r="R132" s="14" t="n">
        <x:f>Q132*(0.24+MOD(ROW(),7)*0.005)</x:f>
        <x:v>3076.9739999999997</x:v>
      </x:c>
    </x:row>
    <x:row r="133">
      <x:c r="A133" s="12" t="n">
        <x:v>46132</x:v>
      </x:c>
      <x:c r="B133" t="str">
        <x:v>EC26-0132</x:v>
      </x:c>
      <x:c r="C133" t="str">
        <x:v>West Bengal</x:v>
      </x:c>
      <x:c r="D133" t="str">
        <x:v>Kolkata</x:v>
      </x:c>
      <x:c r="E133" t="str">
        <x:v>Electronics</x:v>
      </x:c>
      <x:c r="F133" t="str">
        <x:v>Wireless Earbuds</x:v>
      </x:c>
      <x:c r="G133" t="str">
        <x:v>Corporate</x:v>
      </x:c>
      <x:c r="H133" t="str">
        <x:v>Mobile App</x:v>
      </x:c>
      <x:c r="I133" t="str">
        <x:v>Credit Card</x:v>
      </x:c>
      <x:c r="J133" t="n">
        <x:v>1</x:v>
      </x:c>
      <x:c r="K133" s="14" t="n">
        <x:v>2499</x:v>
      </x:c>
      <x:c r="L133" s="16" t="n">
        <x:v>0.1</x:v>
      </x:c>
      <x:c r="M133" t="str">
        <x:v>Vihaan</x:v>
      </x:c>
      <x:c r="N133" t="n">
        <x:v>5</x:v>
      </x:c>
      <x:c r="O133" s="18" t="n">
        <x:v>5</x:v>
      </x:c>
      <x:c r="P133" s="14" t="n">
        <x:f>J133*K133</x:f>
        <x:v>2499</x:v>
      </x:c>
      <x:c r="Q133" s="14" t="n">
        <x:f>P133*(1-L133)</x:f>
        <x:v>2249.1</x:v>
      </x:c>
      <x:c r="R133" s="14" t="n">
        <x:f>Q133*(0.24+MOD(ROW(),7)*0.005)</x:f>
        <x:v>539.784</x:v>
      </x:c>
    </x:row>
    <x:row r="134">
      <x:c r="A134" s="12" t="n">
        <x:v>46090</x:v>
      </x:c>
      <x:c r="B134" t="str">
        <x:v>EC26-0133</x:v>
      </x:c>
      <x:c r="C134" t="str">
        <x:v>Tamil Nadu</x:v>
      </x:c>
      <x:c r="D134" t="str">
        <x:v>Chennai</x:v>
      </x:c>
      <x:c r="E134" t="str">
        <x:v>Grocery</x:v>
      </x:c>
      <x:c r="F134" t="str">
        <x:v>Green Tea</x:v>
      </x:c>
      <x:c r="G134" t="str">
        <x:v>Corporate</x:v>
      </x:c>
      <x:c r="H134" t="str">
        <x:v>Mobile App</x:v>
      </x:c>
      <x:c r="I134" t="str">
        <x:v>COD</x:v>
      </x:c>
      <x:c r="J134" t="n">
        <x:v>1</x:v>
      </x:c>
      <x:c r="K134" s="14" t="n">
        <x:v>499</x:v>
      </x:c>
      <x:c r="L134" s="16" t="n">
        <x:v>0.15</x:v>
      </x:c>
      <x:c r="M134" t="str">
        <x:v>Vihaan</x:v>
      </x:c>
      <x:c r="N134" t="n">
        <x:v>4</x:v>
      </x:c>
      <x:c r="O134" s="18" t="n">
        <x:v>4</x:v>
      </x:c>
      <x:c r="P134" s="14" t="n">
        <x:f>J134*K134</x:f>
        <x:v>499</x:v>
      </x:c>
      <x:c r="Q134" s="14" t="n">
        <x:f>P134*(1-L134)</x:f>
        <x:v>424.15</x:v>
      </x:c>
      <x:c r="R134" s="14" t="n">
        <x:f>Q134*(0.24+MOD(ROW(),7)*0.005)</x:f>
        <x:v>103.91675</x:v>
      </x:c>
    </x:row>
    <x:row r="135">
      <x:c r="A135" s="12" t="n">
        <x:v>46226</x:v>
      </x:c>
      <x:c r="B135" t="str">
        <x:v>EC26-0134</x:v>
      </x:c>
      <x:c r="C135" t="str">
        <x:v>Gujarat</x:v>
      </x:c>
      <x:c r="D135" t="str">
        <x:v>Ahmedabad</x:v>
      </x:c>
      <x:c r="E135" t="str">
        <x:v>Home</x:v>
      </x:c>
      <x:c r="F135" t="str">
        <x:v>Bedsheet Set</x:v>
      </x:c>
      <x:c r="G135" t="str">
        <x:v>Small Business</x:v>
      </x:c>
      <x:c r="H135" t="str">
        <x:v>Marketplace</x:v>
      </x:c>
      <x:c r="I135" t="str">
        <x:v>COD</x:v>
      </x:c>
      <x:c r="J135" t="n">
        <x:v>2</x:v>
      </x:c>
      <x:c r="K135" s="14" t="n">
        <x:v>1499</x:v>
      </x:c>
      <x:c r="L135" s="16" t="n">
        <x:v>0.12</x:v>
      </x:c>
      <x:c r="M135" t="str">
        <x:v>Rohan</x:v>
      </x:c>
      <x:c r="N135" t="n">
        <x:v>5</x:v>
      </x:c>
      <x:c r="O135" s="18" t="n">
        <x:v>5</x:v>
      </x:c>
      <x:c r="P135" s="14" t="n">
        <x:f>J135*K135</x:f>
        <x:v>2998</x:v>
      </x:c>
      <x:c r="Q135" s="14" t="n">
        <x:f>P135*(1-L135)</x:f>
        <x:v>2638.2400000000002</x:v>
      </x:c>
      <x:c r="R135" s="14" t="n">
        <x:f>Q135*(0.24+MOD(ROW(),7)*0.005)</x:f>
        <x:v>659.5600000000001</x:v>
      </x:c>
    </x:row>
    <x:row r="136">
      <x:c r="A136" s="12" t="n">
        <x:v>46145</x:v>
      </x:c>
      <x:c r="B136" t="str">
        <x:v>EC26-0135</x:v>
      </x:c>
      <x:c r="C136" t="str">
        <x:v>Punjab</x:v>
      </x:c>
      <x:c r="D136" t="str">
        <x:v>Ludhiana</x:v>
      </x:c>
      <x:c r="E136" t="str">
        <x:v>Home</x:v>
      </x:c>
      <x:c r="F136" t="str">
        <x:v>Storage Rack</x:v>
      </x:c>
      <x:c r="G136" t="str">
        <x:v>Small Business</x:v>
      </x:c>
      <x:c r="H136" t="str">
        <x:v>Mobile App</x:v>
      </x:c>
      <x:c r="I136" t="str">
        <x:v>Credit Card</x:v>
      </x:c>
      <x:c r="J136" t="n">
        <x:v>1</x:v>
      </x:c>
      <x:c r="K136" s="14" t="n">
        <x:v>2299</x:v>
      </x:c>
      <x:c r="L136" s="16" t="n">
        <x:v>0.02</x:v>
      </x:c>
      <x:c r="M136" t="str">
        <x:v>Ishita</x:v>
      </x:c>
      <x:c r="N136" t="n">
        <x:v>3</x:v>
      </x:c>
      <x:c r="O136" s="18" t="n">
        <x:v>4</x:v>
      </x:c>
      <x:c r="P136" s="14" t="n">
        <x:f>J136*K136</x:f>
        <x:v>2299</x:v>
      </x:c>
      <x:c r="Q136" s="14" t="n">
        <x:f>P136*(1-L136)</x:f>
        <x:v>2253.02</x:v>
      </x:c>
      <x:c r="R136" s="14" t="n">
        <x:f>Q136*(0.24+MOD(ROW(),7)*0.005)</x:f>
        <x:v>574.5201</x:v>
      </x:c>
    </x:row>
    <x:row r="137">
      <x:c r="A137" s="12" t="n">
        <x:v>46138</x:v>
      </x:c>
      <x:c r="B137" t="str">
        <x:v>EC26-0136</x:v>
      </x:c>
      <x:c r="C137" t="str">
        <x:v>Telangana</x:v>
      </x:c>
      <x:c r="D137" t="str">
        <x:v>Hyderabad</x:v>
      </x:c>
      <x:c r="E137" t="str">
        <x:v>Grocery</x:v>
      </x:c>
      <x:c r="F137" t="str">
        <x:v>Protein Bars</x:v>
      </x:c>
      <x:c r="G137" t="str">
        <x:v>Consumer</x:v>
      </x:c>
      <x:c r="H137" t="str">
        <x:v>Mobile App</x:v>
      </x:c>
      <x:c r="I137" t="str">
        <x:v>Debit Card</x:v>
      </x:c>
      <x:c r="J137" t="n">
        <x:v>2</x:v>
      </x:c>
      <x:c r="K137" s="14" t="n">
        <x:v>899</x:v>
      </x:c>
      <x:c r="L137" s="16" t="n">
        <x:v>0.07</x:v>
      </x:c>
      <x:c r="M137" t="str">
        <x:v>Ishita</x:v>
      </x:c>
      <x:c r="N137" t="n">
        <x:v>4</x:v>
      </x:c>
      <x:c r="O137" s="18" t="n">
        <x:v>4</x:v>
      </x:c>
      <x:c r="P137" s="14" t="n">
        <x:f>J137*K137</x:f>
        <x:v>1798</x:v>
      </x:c>
      <x:c r="Q137" s="14" t="n">
        <x:f>P137*(1-L137)</x:f>
        <x:v>1672.1399999999999</x:v>
      </x:c>
      <x:c r="R137" s="14" t="n">
        <x:f>Q137*(0.24+MOD(ROW(),7)*0.005)</x:f>
        <x:v>434.7564</x:v>
      </x:c>
    </x:row>
    <x:row r="138">
      <x:c r="A138" s="12" t="n">
        <x:v>46260</x:v>
      </x:c>
      <x:c r="B138" t="str">
        <x:v>EC26-0137</x:v>
      </x:c>
      <x:c r="C138" t="str">
        <x:v>Uttar Pradesh</x:v>
      </x:c>
      <x:c r="D138" t="str">
        <x:v>Lucknow</x:v>
      </x:c>
      <x:c r="E138" t="str">
        <x:v>Electronics</x:v>
      </x:c>
      <x:c r="F138" t="str">
        <x:v>Power Bank</x:v>
      </x:c>
      <x:c r="G138" t="str">
        <x:v>Corporate</x:v>
      </x:c>
      <x:c r="H138" t="str">
        <x:v>Marketplace</x:v>
      </x:c>
      <x:c r="I138" t="str">
        <x:v>Debit Card</x:v>
      </x:c>
      <x:c r="J138" t="n">
        <x:v>3</x:v>
      </x:c>
      <x:c r="K138" s="14" t="n">
        <x:v>1499</x:v>
      </x:c>
      <x:c r="L138" s="16" t="n">
        <x:v>0.1</x:v>
      </x:c>
      <x:c r="M138" t="str">
        <x:v>Vihaan</x:v>
      </x:c>
      <x:c r="N138" t="n">
        <x:v>2</x:v>
      </x:c>
      <x:c r="O138" s="18" t="n">
        <x:v>4.5</x:v>
      </x:c>
      <x:c r="P138" s="14" t="n">
        <x:f>J138*K138</x:f>
        <x:v>4497</x:v>
      </x:c>
      <x:c r="Q138" s="14" t="n">
        <x:f>P138*(1-L138)</x:f>
        <x:v>4047.3</x:v>
      </x:c>
      <x:c r="R138" s="14" t="n">
        <x:f>Q138*(0.24+MOD(ROW(),7)*0.005)</x:f>
        <x:v>1072.5345000000002</x:v>
      </x:c>
    </x:row>
    <x:row r="139">
      <x:c r="A139" s="12" t="n">
        <x:v>46166</x:v>
      </x:c>
      <x:c r="B139" t="str">
        <x:v>EC26-0138</x:v>
      </x:c>
      <x:c r="C139" t="str">
        <x:v>Karnataka</x:v>
      </x:c>
      <x:c r="D139" t="str">
        <x:v>Bengaluru</x:v>
      </x:c>
      <x:c r="E139" t="str">
        <x:v>Electronics</x:v>
      </x:c>
      <x:c r="F139" t="str">
        <x:v>USB-C Hub</x:v>
      </x:c>
      <x:c r="G139" t="str">
        <x:v>Corporate</x:v>
      </x:c>
      <x:c r="H139" t="str">
        <x:v>Marketplace</x:v>
      </x:c>
      <x:c r="I139" t="str">
        <x:v>Debit Card</x:v>
      </x:c>
      <x:c r="J139" t="n">
        <x:v>3</x:v>
      </x:c>
      <x:c r="K139" s="14" t="n">
        <x:v>1999</x:v>
      </x:c>
      <x:c r="L139" s="16" t="n">
        <x:v>0.02</x:v>
      </x:c>
      <x:c r="M139" t="str">
        <x:v>Meera</x:v>
      </x:c>
      <x:c r="N139" t="n">
        <x:v>3</x:v>
      </x:c>
      <x:c r="O139" s="18" t="n">
        <x:v>4.5</x:v>
      </x:c>
      <x:c r="P139" s="14" t="n">
        <x:f>J139*K139</x:f>
        <x:v>5997</x:v>
      </x:c>
      <x:c r="Q139" s="14" t="n">
        <x:f>P139*(1-L139)</x:f>
        <x:v>5877.0599999999995</x:v>
      </x:c>
      <x:c r="R139" s="14" t="n">
        <x:f>Q139*(0.24+MOD(ROW(),7)*0.005)</x:f>
        <x:v>1586.8062</x:v>
      </x:c>
    </x:row>
    <x:row r="140">
      <x:c r="A140" s="12" t="n">
        <x:v>46029</x:v>
      </x:c>
      <x:c r="B140" t="str">
        <x:v>EC26-0139</x:v>
      </x:c>
      <x:c r="C140" t="str">
        <x:v>Madhya Pradesh</x:v>
      </x:c>
      <x:c r="D140" t="str">
        <x:v>Indore</x:v>
      </x:c>
      <x:c r="E140" t="str">
        <x:v>Home</x:v>
      </x:c>
      <x:c r="F140" t="str">
        <x:v>Bedsheet Set</x:v>
      </x:c>
      <x:c r="G140" t="str">
        <x:v>Corporate</x:v>
      </x:c>
      <x:c r="H140" t="str">
        <x:v>Mobile App</x:v>
      </x:c>
      <x:c r="I140" t="str">
        <x:v>COD</x:v>
      </x:c>
      <x:c r="J140" t="n">
        <x:v>2</x:v>
      </x:c>
      <x:c r="K140" s="14" t="n">
        <x:v>1499</x:v>
      </x:c>
      <x:c r="L140" s="16" t="n">
        <x:v>0.05</x:v>
      </x:c>
      <x:c r="M140" t="str">
        <x:v>Ishita</x:v>
      </x:c>
      <x:c r="N140" t="n">
        <x:v>4</x:v>
      </x:c>
      <x:c r="O140" s="18" t="n">
        <x:v>3.5</x:v>
      </x:c>
      <x:c r="P140" s="14" t="n">
        <x:f>J140*K140</x:f>
        <x:v>2998</x:v>
      </x:c>
      <x:c r="Q140" s="14" t="n">
        <x:f>P140*(1-L140)</x:f>
        <x:v>2848.1</x:v>
      </x:c>
      <x:c r="R140" s="14" t="n">
        <x:f>Q140*(0.24+MOD(ROW(),7)*0.005)</x:f>
        <x:v>683.544</x:v>
      </x:c>
    </x:row>
    <x:row r="141">
      <x:c r="A141" s="12" t="n">
        <x:v>46159</x:v>
      </x:c>
      <x:c r="B141" t="str">
        <x:v>EC26-0140</x:v>
      </x:c>
      <x:c r="C141" t="str">
        <x:v>Gujarat</x:v>
      </x:c>
      <x:c r="D141" t="str">
        <x:v>Ahmedabad</x:v>
      </x:c>
      <x:c r="E141" t="str">
        <x:v>Electronics</x:v>
      </x:c>
      <x:c r="F141" t="str">
        <x:v>Smartwatch</x:v>
      </x:c>
      <x:c r="G141" t="str">
        <x:v>Small Business</x:v>
      </x:c>
      <x:c r="H141" t="str">
        <x:v>Mobile App</x:v>
      </x:c>
      <x:c r="I141" t="str">
        <x:v>COD</x:v>
      </x:c>
      <x:c r="J141" t="n">
        <x:v>1</x:v>
      </x:c>
      <x:c r="K141" s="14" t="n">
        <x:v>3999</x:v>
      </x:c>
      <x:c r="L141" s="16" t="n">
        <x:v>0</x:v>
      </x:c>
      <x:c r="M141" t="str">
        <x:v>Aarav</x:v>
      </x:c>
      <x:c r="N141" t="n">
        <x:v>4</x:v>
      </x:c>
      <x:c r="O141" s="18" t="n">
        <x:v>3</x:v>
      </x:c>
      <x:c r="P141" s="14" t="n">
        <x:f>J141*K141</x:f>
        <x:v>3999</x:v>
      </x:c>
      <x:c r="Q141" s="14" t="n">
        <x:f>P141*(1-L141)</x:f>
        <x:v>3999</x:v>
      </x:c>
      <x:c r="R141" s="14" t="n">
        <x:f>Q141*(0.24+MOD(ROW(),7)*0.005)</x:f>
        <x:v>979.755</x:v>
      </x:c>
    </x:row>
    <x:row r="142">
      <x:c r="A142" s="12" t="n">
        <x:v>46051</x:v>
      </x:c>
      <x:c r="B142" t="str">
        <x:v>EC26-0141</x:v>
      </x:c>
      <x:c r="C142" t="str">
        <x:v>Maharashtra</x:v>
      </x:c>
      <x:c r="D142" t="str">
        <x:v>Mumbai</x:v>
      </x:c>
      <x:c r="E142" t="str">
        <x:v>Electronics</x:v>
      </x:c>
      <x:c r="F142" t="str">
        <x:v>Bluetooth Speaker</x:v>
      </x:c>
      <x:c r="G142" t="str">
        <x:v>Consumer</x:v>
      </x:c>
      <x:c r="H142" t="str">
        <x:v>Mobile App</x:v>
      </x:c>
      <x:c r="I142" t="str">
        <x:v>UPI</x:v>
      </x:c>
      <x:c r="J142" t="n">
        <x:v>2</x:v>
      </x:c>
      <x:c r="K142" s="14" t="n">
        <x:v>2999</x:v>
      </x:c>
      <x:c r="L142" s="16" t="n">
        <x:v>0</x:v>
      </x:c>
      <x:c r="M142" t="str">
        <x:v>Aarav</x:v>
      </x:c>
      <x:c r="N142" t="n">
        <x:v>4</x:v>
      </x:c>
      <x:c r="O142" s="18" t="n">
        <x:v>3.5</x:v>
      </x:c>
      <x:c r="P142" s="14" t="n">
        <x:f>J142*K142</x:f>
        <x:v>5998</x:v>
      </x:c>
      <x:c r="Q142" s="14" t="n">
        <x:f>P142*(1-L142)</x:f>
        <x:v>5998</x:v>
      </x:c>
      <x:c r="R142" s="14" t="n">
        <x:f>Q142*(0.24+MOD(ROW(),7)*0.005)</x:f>
        <x:v>1499.5</x:v>
      </x:c>
    </x:row>
    <x:row r="143">
      <x:c r="A143" s="12" t="n">
        <x:v>46049</x:v>
      </x:c>
      <x:c r="B143" t="str">
        <x:v>EC26-0142</x:v>
      </x:c>
      <x:c r="C143" t="str">
        <x:v>Tamil Nadu</x:v>
      </x:c>
      <x:c r="D143" t="str">
        <x:v>Chennai</x:v>
      </x:c>
      <x:c r="E143" t="str">
        <x:v>Grocery</x:v>
      </x:c>
      <x:c r="F143" t="str">
        <x:v>Coffee Beans</x:v>
      </x:c>
      <x:c r="G143" t="str">
        <x:v>Consumer</x:v>
      </x:c>
      <x:c r="H143" t="str">
        <x:v>Mobile App</x:v>
      </x:c>
      <x:c r="I143" t="str">
        <x:v>COD</x:v>
      </x:c>
      <x:c r="J143" t="n">
        <x:v>2</x:v>
      </x:c>
      <x:c r="K143" s="14" t="n">
        <x:v>699</x:v>
      </x:c>
      <x:c r="L143" s="16" t="n">
        <x:v>0.02</x:v>
      </x:c>
      <x:c r="M143" t="str">
        <x:v>Aarav</x:v>
      </x:c>
      <x:c r="N143" t="n">
        <x:v>2</x:v>
      </x:c>
      <x:c r="O143" s="18" t="n">
        <x:v>4</x:v>
      </x:c>
      <x:c r="P143" s="14" t="n">
        <x:f>J143*K143</x:f>
        <x:v>1398</x:v>
      </x:c>
      <x:c r="Q143" s="14" t="n">
        <x:f>P143*(1-L143)</x:f>
        <x:v>1370.04</x:v>
      </x:c>
      <x:c r="R143" s="14" t="n">
        <x:f>Q143*(0.24+MOD(ROW(),7)*0.005)</x:f>
        <x:v>349.3602</x:v>
      </x:c>
    </x:row>
    <x:row r="144">
      <x:c r="A144" s="12" t="n">
        <x:v>46280</x:v>
      </x:c>
      <x:c r="B144" t="str">
        <x:v>EC26-0143</x:v>
      </x:c>
      <x:c r="C144" t="str">
        <x:v>West Bengal</x:v>
      </x:c>
      <x:c r="D144" t="str">
        <x:v>Kolkata</x:v>
      </x:c>
      <x:c r="E144" t="str">
        <x:v>Beauty</x:v>
      </x:c>
      <x:c r="F144" t="str">
        <x:v>Makeup Set</x:v>
      </x:c>
      <x:c r="G144" t="str">
        <x:v>Corporate</x:v>
      </x:c>
      <x:c r="H144" t="str">
        <x:v>Marketplace</x:v>
      </x:c>
      <x:c r="I144" t="str">
        <x:v>COD</x:v>
      </x:c>
      <x:c r="J144" t="n">
        <x:v>2</x:v>
      </x:c>
      <x:c r="K144" s="14" t="n">
        <x:v>1599</x:v>
      </x:c>
      <x:c r="L144" s="16" t="n">
        <x:v>0</x:v>
      </x:c>
      <x:c r="M144" t="str">
        <x:v>Ishita</x:v>
      </x:c>
      <x:c r="N144" t="n">
        <x:v>5</x:v>
      </x:c>
      <x:c r="O144" s="18" t="n">
        <x:v>4</x:v>
      </x:c>
      <x:c r="P144" s="14" t="n">
        <x:f>J144*K144</x:f>
        <x:v>3198</x:v>
      </x:c>
      <x:c r="Q144" s="14" t="n">
        <x:f>P144*(1-L144)</x:f>
        <x:v>3198</x:v>
      </x:c>
      <x:c r="R144" s="14" t="n">
        <x:f>Q144*(0.24+MOD(ROW(),7)*0.005)</x:f>
        <x:v>831.48</x:v>
      </x:c>
    </x:row>
    <x:row r="145">
      <x:c r="A145" s="12" t="n">
        <x:v>46145</x:v>
      </x:c>
      <x:c r="B145" t="str">
        <x:v>EC26-0144</x:v>
      </x:c>
      <x:c r="C145" t="str">
        <x:v>Uttar Pradesh</x:v>
      </x:c>
      <x:c r="D145" t="str">
        <x:v>Lucknow</x:v>
      </x:c>
      <x:c r="E145" t="str">
        <x:v>Electronics</x:v>
      </x:c>
      <x:c r="F145" t="str">
        <x:v>Wireless Earbuds</x:v>
      </x:c>
      <x:c r="G145" t="str">
        <x:v>Consumer</x:v>
      </x:c>
      <x:c r="H145" t="str">
        <x:v>Marketplace</x:v>
      </x:c>
      <x:c r="I145" t="str">
        <x:v>Credit Card</x:v>
      </x:c>
      <x:c r="J145" t="n">
        <x:v>1</x:v>
      </x:c>
      <x:c r="K145" s="14" t="n">
        <x:v>2499</x:v>
      </x:c>
      <x:c r="L145" s="16" t="n">
        <x:v>0</x:v>
      </x:c>
      <x:c r="M145" t="str">
        <x:v>Aarav</x:v>
      </x:c>
      <x:c r="N145" t="n">
        <x:v>1</x:v>
      </x:c>
      <x:c r="O145" s="18" t="n">
        <x:v>4</x:v>
      </x:c>
      <x:c r="P145" s="14" t="n">
        <x:f>J145*K145</x:f>
        <x:v>2499</x:v>
      </x:c>
      <x:c r="Q145" s="14" t="n">
        <x:f>P145*(1-L145)</x:f>
        <x:v>2499</x:v>
      </x:c>
      <x:c r="R145" s="14" t="n">
        <x:f>Q145*(0.24+MOD(ROW(),7)*0.005)</x:f>
        <x:v>662.235</x:v>
      </x:c>
    </x:row>
    <x:row r="146">
      <x:c r="A146" s="12" t="n">
        <x:v>46345</x:v>
      </x:c>
      <x:c r="B146" t="str">
        <x:v>EC26-0145</x:v>
      </x:c>
      <x:c r="C146" t="str">
        <x:v>Tamil Nadu</x:v>
      </x:c>
      <x:c r="D146" t="str">
        <x:v>Chennai</x:v>
      </x:c>
      <x:c r="E146" t="str">
        <x:v>Electronics</x:v>
      </x:c>
      <x:c r="F146" t="str">
        <x:v>Wireless Earbuds</x:v>
      </x:c>
      <x:c r="G146" t="str">
        <x:v>Consumer</x:v>
      </x:c>
      <x:c r="H146" t="str">
        <x:v>Mobile App</x:v>
      </x:c>
      <x:c r="I146" t="str">
        <x:v>UPI</x:v>
      </x:c>
      <x:c r="J146" t="n">
        <x:v>1</x:v>
      </x:c>
      <x:c r="K146" s="14" t="n">
        <x:v>2499</x:v>
      </x:c>
      <x:c r="L146" s="16" t="n">
        <x:v>0.07</x:v>
      </x:c>
      <x:c r="M146" t="str">
        <x:v>Vihaan</x:v>
      </x:c>
      <x:c r="N146" t="n">
        <x:v>3</x:v>
      </x:c>
      <x:c r="O146" s="18" t="n">
        <x:v>4</x:v>
      </x:c>
      <x:c r="P146" s="14" t="n">
        <x:f>J146*K146</x:f>
        <x:v>2499</x:v>
      </x:c>
      <x:c r="Q146" s="14" t="n">
        <x:f>P146*(1-L146)</x:f>
        <x:v>2324.0699999999997</x:v>
      </x:c>
      <x:c r="R146" s="14" t="n">
        <x:f>Q146*(0.24+MOD(ROW(),7)*0.005)</x:f>
        <x:v>627.4988999999999</x:v>
      </x:c>
    </x:row>
    <x:row r="147">
      <x:c r="A147" s="12" t="n">
        <x:v>46202</x:v>
      </x:c>
      <x:c r="B147" t="str">
        <x:v>EC26-0146</x:v>
      </x:c>
      <x:c r="C147" t="str">
        <x:v>Delhi</x:v>
      </x:c>
      <x:c r="D147" t="str">
        <x:v>New Delhi</x:v>
      </x:c>
      <x:c r="E147" t="str">
        <x:v>Grocery</x:v>
      </x:c>
      <x:c r="F147" t="str">
        <x:v>Coffee Beans</x:v>
      </x:c>
      <x:c r="G147" t="str">
        <x:v>Consumer</x:v>
      </x:c>
      <x:c r="H147" t="str">
        <x:v>Mobile App</x:v>
      </x:c>
      <x:c r="I147" t="str">
        <x:v>COD</x:v>
      </x:c>
      <x:c r="J147" t="n">
        <x:v>4</x:v>
      </x:c>
      <x:c r="K147" s="14" t="n">
        <x:v>699</x:v>
      </x:c>
      <x:c r="L147" s="16" t="n">
        <x:v>0</x:v>
      </x:c>
      <x:c r="M147" t="str">
        <x:v>Aarav</x:v>
      </x:c>
      <x:c r="N147" t="n">
        <x:v>3</x:v>
      </x:c>
      <x:c r="O147" s="18" t="n">
        <x:v>3.5</x:v>
      </x:c>
      <x:c r="P147" s="14" t="n">
        <x:f>J147*K147</x:f>
        <x:v>2796</x:v>
      </x:c>
      <x:c r="Q147" s="14" t="n">
        <x:f>P147*(1-L147)</x:f>
        <x:v>2796</x:v>
      </x:c>
      <x:c r="R147" s="14" t="n">
        <x:f>Q147*(0.24+MOD(ROW(),7)*0.005)</x:f>
        <x:v>671.04</x:v>
      </x:c>
    </x:row>
    <x:row r="148">
      <x:c r="A148" s="12" t="n">
        <x:v>46099</x:v>
      </x:c>
      <x:c r="B148" t="str">
        <x:v>EC26-0147</x:v>
      </x:c>
      <x:c r="C148" t="str">
        <x:v>Kerala</x:v>
      </x:c>
      <x:c r="D148" t="str">
        <x:v>Kochi</x:v>
      </x:c>
      <x:c r="E148" t="str">
        <x:v>Beauty</x:v>
      </x:c>
      <x:c r="F148" t="str">
        <x:v>Perfume</x:v>
      </x:c>
      <x:c r="G148" t="str">
        <x:v>Corporate</x:v>
      </x:c>
      <x:c r="H148" t="str">
        <x:v>Marketplace</x:v>
      </x:c>
      <x:c r="I148" t="str">
        <x:v>Credit Card</x:v>
      </x:c>
      <x:c r="J148" t="n">
        <x:v>1</x:v>
      </x:c>
      <x:c r="K148" s="14" t="n">
        <x:v>2499</x:v>
      </x:c>
      <x:c r="L148" s="16" t="n">
        <x:v>0.05</x:v>
      </x:c>
      <x:c r="M148" t="str">
        <x:v>Kabir</x:v>
      </x:c>
      <x:c r="N148" t="n">
        <x:v>2</x:v>
      </x:c>
      <x:c r="O148" s="18" t="n">
        <x:v>5</x:v>
      </x:c>
      <x:c r="P148" s="14" t="n">
        <x:f>J148*K148</x:f>
        <x:v>2499</x:v>
      </x:c>
      <x:c r="Q148" s="14" t="n">
        <x:f>P148*(1-L148)</x:f>
        <x:v>2374.0499999999997</x:v>
      </x:c>
      <x:c r="R148" s="14" t="n">
        <x:f>Q148*(0.24+MOD(ROW(),7)*0.005)</x:f>
        <x:v>581.6422499999999</x:v>
      </x:c>
    </x:row>
    <x:row r="149">
      <x:c r="A149" s="12" t="n">
        <x:v>46057</x:v>
      </x:c>
      <x:c r="B149" t="str">
        <x:v>EC26-0148</x:v>
      </x:c>
      <x:c r="C149" t="str">
        <x:v>Punjab</x:v>
      </x:c>
      <x:c r="D149" t="str">
        <x:v>Ludhiana</x:v>
      </x:c>
      <x:c r="E149" t="str">
        <x:v>Fashion</x:v>
      </x:c>
      <x:c r="F149" t="str">
        <x:v>Hoodie</x:v>
      </x:c>
      <x:c r="G149" t="str">
        <x:v>Consumer</x:v>
      </x:c>
      <x:c r="H149" t="str">
        <x:v>Mobile App</x:v>
      </x:c>
      <x:c r="I149" t="str">
        <x:v>UPI</x:v>
      </x:c>
      <x:c r="J149" t="n">
        <x:v>2</x:v>
      </x:c>
      <x:c r="K149" s="14" t="n">
        <x:v>1999</x:v>
      </x:c>
      <x:c r="L149" s="16" t="n">
        <x:v>0.15</x:v>
      </x:c>
      <x:c r="M149" t="str">
        <x:v>Vihaan</x:v>
      </x:c>
      <x:c r="N149" t="n">
        <x:v>2</x:v>
      </x:c>
      <x:c r="O149" s="18" t="n">
        <x:v>4.5</x:v>
      </x:c>
      <x:c r="P149" s="14" t="n">
        <x:f>J149*K149</x:f>
        <x:v>3998</x:v>
      </x:c>
      <x:c r="Q149" s="14" t="n">
        <x:f>P149*(1-L149)</x:f>
        <x:v>3398.2999999999997</x:v>
      </x:c>
      <x:c r="R149" s="14" t="n">
        <x:f>Q149*(0.24+MOD(ROW(),7)*0.005)</x:f>
        <x:v>849.5749999999999</x:v>
      </x:c>
    </x:row>
    <x:row r="150">
      <x:c r="A150" s="12" t="n">
        <x:v>46084</x:v>
      </x:c>
      <x:c r="B150" t="str">
        <x:v>EC26-0149</x:v>
      </x:c>
      <x:c r="C150" t="str">
        <x:v>Delhi</x:v>
      </x:c>
      <x:c r="D150" t="str">
        <x:v>New Delhi</x:v>
      </x:c>
      <x:c r="E150" t="str">
        <x:v>Grocery</x:v>
      </x:c>
      <x:c r="F150" t="str">
        <x:v>Healthy Snacks</x:v>
      </x:c>
      <x:c r="G150" t="str">
        <x:v>Corporate</x:v>
      </x:c>
      <x:c r="H150" t="str">
        <x:v>Website</x:v>
      </x:c>
      <x:c r="I150" t="str">
        <x:v>COD</x:v>
      </x:c>
      <x:c r="J150" t="n">
        <x:v>2</x:v>
      </x:c>
      <x:c r="K150" s="14" t="n">
        <x:v>599</x:v>
      </x:c>
      <x:c r="L150" s="16" t="n">
        <x:v>0.05</x:v>
      </x:c>
      <x:c r="M150" t="str">
        <x:v>Anaya</x:v>
      </x:c>
      <x:c r="N150" t="n">
        <x:v>5</x:v>
      </x:c>
      <x:c r="O150" s="18" t="n">
        <x:v>4</x:v>
      </x:c>
      <x:c r="P150" s="14" t="n">
        <x:f>J150*K150</x:f>
        <x:v>1198</x:v>
      </x:c>
      <x:c r="Q150" s="14" t="n">
        <x:f>P150*(1-L150)</x:f>
        <x:v>1138.1</x:v>
      </x:c>
      <x:c r="R150" s="14" t="n">
        <x:f>Q150*(0.24+MOD(ROW(),7)*0.005)</x:f>
        <x:v>290.21549999999996</x:v>
      </x:c>
    </x:row>
    <x:row r="151">
      <x:c r="A151" s="12" t="n">
        <x:v>46301</x:v>
      </x:c>
      <x:c r="B151" t="str">
        <x:v>EC26-0150</x:v>
      </x:c>
      <x:c r="C151" t="str">
        <x:v>Uttar Pradesh</x:v>
      </x:c>
      <x:c r="D151" t="str">
        <x:v>Lucknow</x:v>
      </x:c>
      <x:c r="E151" t="str">
        <x:v>Electronics</x:v>
      </x:c>
      <x:c r="F151" t="str">
        <x:v>Power Bank</x:v>
      </x:c>
      <x:c r="G151" t="str">
        <x:v>Corporate</x:v>
      </x:c>
      <x:c r="H151" t="str">
        <x:v>Website</x:v>
      </x:c>
      <x:c r="I151" t="str">
        <x:v>COD</x:v>
      </x:c>
      <x:c r="J151" t="n">
        <x:v>1</x:v>
      </x:c>
      <x:c r="K151" s="14" t="n">
        <x:v>1499</x:v>
      </x:c>
      <x:c r="L151" s="16" t="n">
        <x:v>0.02</x:v>
      </x:c>
      <x:c r="M151" t="str">
        <x:v>Anaya</x:v>
      </x:c>
      <x:c r="N151" t="n">
        <x:v>3</x:v>
      </x:c>
      <x:c r="O151" s="18" t="n">
        <x:v>5</x:v>
      </x:c>
      <x:c r="P151" s="14" t="n">
        <x:f>J151*K151</x:f>
        <x:v>1499</x:v>
      </x:c>
      <x:c r="Q151" s="14" t="n">
        <x:f>P151*(1-L151)</x:f>
        <x:v>1469.02</x:v>
      </x:c>
      <x:c r="R151" s="14" t="n">
        <x:f>Q151*(0.24+MOD(ROW(),7)*0.005)</x:f>
        <x:v>381.9452</x:v>
      </x:c>
    </x:row>
    <x:row r="152">
      <x:c r="A152" s="12" t="n">
        <x:v>46098</x:v>
      </x:c>
      <x:c r="B152" t="str">
        <x:v>EC26-0151</x:v>
      </x:c>
      <x:c r="C152" t="str">
        <x:v>Uttar Pradesh</x:v>
      </x:c>
      <x:c r="D152" t="str">
        <x:v>Lucknow</x:v>
      </x:c>
      <x:c r="E152" t="str">
        <x:v>Grocery</x:v>
      </x:c>
      <x:c r="F152" t="str">
        <x:v>Protein Bars</x:v>
      </x:c>
      <x:c r="G152" t="str">
        <x:v>Small Business</x:v>
      </x:c>
      <x:c r="H152" t="str">
        <x:v>Website</x:v>
      </x:c>
      <x:c r="I152" t="str">
        <x:v>Credit Card</x:v>
      </x:c>
      <x:c r="J152" t="n">
        <x:v>1</x:v>
      </x:c>
      <x:c r="K152" s="14" t="n">
        <x:v>899</x:v>
      </x:c>
      <x:c r="L152" s="16" t="n">
        <x:v>0.1</x:v>
      </x:c>
      <x:c r="M152" t="str">
        <x:v>Rohan</x:v>
      </x:c>
      <x:c r="N152" t="n">
        <x:v>2</x:v>
      </x:c>
      <x:c r="O152" s="18" t="n">
        <x:v>5</x:v>
      </x:c>
      <x:c r="P152" s="14" t="n">
        <x:f>J152*K152</x:f>
        <x:v>899</x:v>
      </x:c>
      <x:c r="Q152" s="14" t="n">
        <x:f>P152*(1-L152)</x:f>
        <x:v>809.1</x:v>
      </x:c>
      <x:c r="R152" s="14" t="n">
        <x:f>Q152*(0.24+MOD(ROW(),7)*0.005)</x:f>
        <x:v>214.41150000000002</x:v>
      </x:c>
    </x:row>
    <x:row r="153">
      <x:c r="A153" s="12" t="n">
        <x:v>46373</x:v>
      </x:c>
      <x:c r="B153" t="str">
        <x:v>EC26-0152</x:v>
      </x:c>
      <x:c r="C153" t="str">
        <x:v>Madhya Pradesh</x:v>
      </x:c>
      <x:c r="D153" t="str">
        <x:v>Indore</x:v>
      </x:c>
      <x:c r="E153" t="str">
        <x:v>Fashion</x:v>
      </x:c>
      <x:c r="F153" t="str">
        <x:v>Backpack</x:v>
      </x:c>
      <x:c r="G153" t="str">
        <x:v>Small Business</x:v>
      </x:c>
      <x:c r="H153" t="str">
        <x:v>Mobile App</x:v>
      </x:c>
      <x:c r="I153" t="str">
        <x:v>COD</x:v>
      </x:c>
      <x:c r="J153" t="n">
        <x:v>1</x:v>
      </x:c>
      <x:c r="K153" s="14" t="n">
        <x:v>1799</x:v>
      </x:c>
      <x:c r="L153" s="16" t="n">
        <x:v>0.15</x:v>
      </x:c>
      <x:c r="M153" t="str">
        <x:v>Kabir</x:v>
      </x:c>
      <x:c r="N153" t="n">
        <x:v>3</x:v>
      </x:c>
      <x:c r="O153" s="18" t="n">
        <x:v>4</x:v>
      </x:c>
      <x:c r="P153" s="14" t="n">
        <x:f>J153*K153</x:f>
        <x:v>1799</x:v>
      </x:c>
      <x:c r="Q153" s="14" t="n">
        <x:f>P153*(1-L153)</x:f>
        <x:v>1529.1499999999999</x:v>
      </x:c>
      <x:c r="R153" s="14" t="n">
        <x:f>Q153*(0.24+MOD(ROW(),7)*0.005)</x:f>
        <x:v>412.8705</x:v>
      </x:c>
    </x:row>
    <x:row r="154">
      <x:c r="A154" s="12" t="n">
        <x:v>46035</x:v>
      </x:c>
      <x:c r="B154" t="str">
        <x:v>EC26-0153</x:v>
      </x:c>
      <x:c r="C154" t="str">
        <x:v>Madhya Pradesh</x:v>
      </x:c>
      <x:c r="D154" t="str">
        <x:v>Indore</x:v>
      </x:c>
      <x:c r="E154" t="str">
        <x:v>Grocery</x:v>
      </x:c>
      <x:c r="F154" t="str">
        <x:v>Coffee Beans</x:v>
      </x:c>
      <x:c r="G154" t="str">
        <x:v>Small Business</x:v>
      </x:c>
      <x:c r="H154" t="str">
        <x:v>Website</x:v>
      </x:c>
      <x:c r="I154" t="str">
        <x:v>Debit Card</x:v>
      </x:c>
      <x:c r="J154" t="n">
        <x:v>1</x:v>
      </x:c>
      <x:c r="K154" s="14" t="n">
        <x:v>699</x:v>
      </x:c>
      <x:c r="L154" s="16" t="n">
        <x:v>0.12</x:v>
      </x:c>
      <x:c r="M154" t="str">
        <x:v>Kabir</x:v>
      </x:c>
      <x:c r="N154" t="n">
        <x:v>4</x:v>
      </x:c>
      <x:c r="O154" s="18" t="n">
        <x:v>3</x:v>
      </x:c>
      <x:c r="P154" s="14" t="n">
        <x:f>J154*K154</x:f>
        <x:v>699</x:v>
      </x:c>
      <x:c r="Q154" s="14" t="n">
        <x:f>P154*(1-L154)</x:f>
        <x:v>615.12</x:v>
      </x:c>
      <x:c r="R154" s="14" t="n">
        <x:f>Q154*(0.24+MOD(ROW(),7)*0.005)</x:f>
        <x:v>147.62879999999998</x:v>
      </x:c>
    </x:row>
    <x:row r="155">
      <x:c r="A155" s="12" t="n">
        <x:v>46173</x:v>
      </x:c>
      <x:c r="B155" t="str">
        <x:v>EC26-0154</x:v>
      </x:c>
      <x:c r="C155" t="str">
        <x:v>Delhi</x:v>
      </x:c>
      <x:c r="D155" t="str">
        <x:v>New Delhi</x:v>
      </x:c>
      <x:c r="E155" t="str">
        <x:v>Beauty</x:v>
      </x:c>
      <x:c r="F155" t="str">
        <x:v>Hair Dryer</x:v>
      </x:c>
      <x:c r="G155" t="str">
        <x:v>Small Business</x:v>
      </x:c>
      <x:c r="H155" t="str">
        <x:v>Website</x:v>
      </x:c>
      <x:c r="I155" t="str">
        <x:v>Wallet</x:v>
      </x:c>
      <x:c r="J155" t="n">
        <x:v>2</x:v>
      </x:c>
      <x:c r="K155" s="14" t="n">
        <x:v>1899</x:v>
      </x:c>
      <x:c r="L155" s="16" t="n">
        <x:v>0.07</x:v>
      </x:c>
      <x:c r="M155" t="str">
        <x:v>Simran</x:v>
      </x:c>
      <x:c r="N155" t="n">
        <x:v>1</x:v>
      </x:c>
      <x:c r="O155" s="18" t="n">
        <x:v>3.5</x:v>
      </x:c>
      <x:c r="P155" s="14" t="n">
        <x:f>J155*K155</x:f>
        <x:v>3798</x:v>
      </x:c>
      <x:c r="Q155" s="14" t="n">
        <x:f>P155*(1-L155)</x:f>
        <x:v>3532.14</x:v>
      </x:c>
      <x:c r="R155" s="14" t="n">
        <x:f>Q155*(0.24+MOD(ROW(),7)*0.005)</x:f>
        <x:v>865.3743</x:v>
      </x:c>
    </x:row>
    <x:row r="156">
      <x:c r="A156" s="12" t="n">
        <x:v>46354</x:v>
      </x:c>
      <x:c r="B156" t="str">
        <x:v>EC26-0155</x:v>
      </x:c>
      <x:c r="C156" t="str">
        <x:v>Karnataka</x:v>
      </x:c>
      <x:c r="D156" t="str">
        <x:v>Bengaluru</x:v>
      </x:c>
      <x:c r="E156" t="str">
        <x:v>Grocery</x:v>
      </x:c>
      <x:c r="F156" t="str">
        <x:v>Healthy Snacks</x:v>
      </x:c>
      <x:c r="G156" t="str">
        <x:v>Corporate</x:v>
      </x:c>
      <x:c r="H156" t="str">
        <x:v>Website</x:v>
      </x:c>
      <x:c r="I156" t="str">
        <x:v>Debit Card</x:v>
      </x:c>
      <x:c r="J156" t="n">
        <x:v>2</x:v>
      </x:c>
      <x:c r="K156" s="14" t="n">
        <x:v>599</x:v>
      </x:c>
      <x:c r="L156" s="16" t="n">
        <x:v>0.1</x:v>
      </x:c>
      <x:c r="M156" t="str">
        <x:v>Ishita</x:v>
      </x:c>
      <x:c r="N156" t="n">
        <x:v>3</x:v>
      </x:c>
      <x:c r="O156" s="18" t="n">
        <x:v>4.5</x:v>
      </x:c>
      <x:c r="P156" s="14" t="n">
        <x:f>J156*K156</x:f>
        <x:v>1198</x:v>
      </x:c>
      <x:c r="Q156" s="14" t="n">
        <x:f>P156*(1-L156)</x:f>
        <x:v>1078.2</x:v>
      </x:c>
      <x:c r="R156" s="14" t="n">
        <x:f>Q156*(0.24+MOD(ROW(),7)*0.005)</x:f>
        <x:v>269.55</x:v>
      </x:c>
    </x:row>
    <x:row r="157">
      <x:c r="A157" s="12" t="n">
        <x:v>46297</x:v>
      </x:c>
      <x:c r="B157" t="str">
        <x:v>EC26-0156</x:v>
      </x:c>
      <x:c r="C157" t="str">
        <x:v>Maharashtra</x:v>
      </x:c>
      <x:c r="D157" t="str">
        <x:v>Mumbai</x:v>
      </x:c>
      <x:c r="E157" t="str">
        <x:v>Electronics</x:v>
      </x:c>
      <x:c r="F157" t="str">
        <x:v>Smartwatch</x:v>
      </x:c>
      <x:c r="G157" t="str">
        <x:v>Consumer</x:v>
      </x:c>
      <x:c r="H157" t="str">
        <x:v>Mobile App</x:v>
      </x:c>
      <x:c r="I157" t="str">
        <x:v>Credit Card</x:v>
      </x:c>
      <x:c r="J157" t="n">
        <x:v>1</x:v>
      </x:c>
      <x:c r="K157" s="14" t="n">
        <x:v>3999</x:v>
      </x:c>
      <x:c r="L157" s="16" t="n">
        <x:v>0.12</x:v>
      </x:c>
      <x:c r="M157" t="str">
        <x:v>Vihaan</x:v>
      </x:c>
      <x:c r="N157" t="n">
        <x:v>4</x:v>
      </x:c>
      <x:c r="O157" s="18" t="n">
        <x:v>5</x:v>
      </x:c>
      <x:c r="P157" s="14" t="n">
        <x:f>J157*K157</x:f>
        <x:v>3999</x:v>
      </x:c>
      <x:c r="Q157" s="14" t="n">
        <x:f>P157*(1-L157)</x:f>
        <x:v>3519.12</x:v>
      </x:c>
      <x:c r="R157" s="14" t="n">
        <x:f>Q157*(0.24+MOD(ROW(),7)*0.005)</x:f>
        <x:v>897.3756</x:v>
      </x:c>
    </x:row>
    <x:row r="158">
      <x:c r="A158" s="12" t="n">
        <x:v>46246</x:v>
      </x:c>
      <x:c r="B158" t="str">
        <x:v>EC26-0157</x:v>
      </x:c>
      <x:c r="C158" t="str">
        <x:v>Punjab</x:v>
      </x:c>
      <x:c r="D158" t="str">
        <x:v>Ludhiana</x:v>
      </x:c>
      <x:c r="E158" t="str">
        <x:v>Fashion</x:v>
      </x:c>
      <x:c r="F158" t="str">
        <x:v>Backpack</x:v>
      </x:c>
      <x:c r="G158" t="str">
        <x:v>Consumer</x:v>
      </x:c>
      <x:c r="H158" t="str">
        <x:v>Mobile App</x:v>
      </x:c>
      <x:c r="I158" t="str">
        <x:v>COD</x:v>
      </x:c>
      <x:c r="J158" t="n">
        <x:v>2</x:v>
      </x:c>
      <x:c r="K158" s="14" t="n">
        <x:v>1799</x:v>
      </x:c>
      <x:c r="L158" s="16" t="n">
        <x:v>0.15</x:v>
      </x:c>
      <x:c r="M158" t="str">
        <x:v>Aarav</x:v>
      </x:c>
      <x:c r="N158" t="n">
        <x:v>4</x:v>
      </x:c>
      <x:c r="O158" s="18" t="n">
        <x:v>3.5</x:v>
      </x:c>
      <x:c r="P158" s="14" t="n">
        <x:f>J158*K158</x:f>
        <x:v>3598</x:v>
      </x:c>
      <x:c r="Q158" s="14" t="n">
        <x:f>P158*(1-L158)</x:f>
        <x:v>3058.2999999999997</x:v>
      </x:c>
      <x:c r="R158" s="14" t="n">
        <x:f>Q158*(0.24+MOD(ROW(),7)*0.005)</x:f>
        <x:v>795.1579999999999</x:v>
      </x:c>
    </x:row>
    <x:row r="159">
      <x:c r="A159" s="12" t="n">
        <x:v>46375</x:v>
      </x:c>
      <x:c r="B159" t="str">
        <x:v>EC26-0158</x:v>
      </x:c>
      <x:c r="C159" t="str">
        <x:v>Kerala</x:v>
      </x:c>
      <x:c r="D159" t="str">
        <x:v>Kochi</x:v>
      </x:c>
      <x:c r="E159" t="str">
        <x:v>Beauty</x:v>
      </x:c>
      <x:c r="F159" t="str">
        <x:v>Face Serum</x:v>
      </x:c>
      <x:c r="G159" t="str">
        <x:v>Small Business</x:v>
      </x:c>
      <x:c r="H159" t="str">
        <x:v>Mobile App</x:v>
      </x:c>
      <x:c r="I159" t="str">
        <x:v>COD</x:v>
      </x:c>
      <x:c r="J159" t="n">
        <x:v>1</x:v>
      </x:c>
      <x:c r="K159" s="14" t="n">
        <x:v>799</x:v>
      </x:c>
      <x:c r="L159" s="16" t="n">
        <x:v>0.02</x:v>
      </x:c>
      <x:c r="M159" t="str">
        <x:v>Aarav</x:v>
      </x:c>
      <x:c r="N159" t="n">
        <x:v>3</x:v>
      </x:c>
      <x:c r="O159" s="18" t="n">
        <x:v>3</x:v>
      </x:c>
      <x:c r="P159" s="14" t="n">
        <x:f>J159*K159</x:f>
        <x:v>799</x:v>
      </x:c>
      <x:c r="Q159" s="14" t="n">
        <x:f>P159*(1-L159)</x:f>
        <x:v>783.02</x:v>
      </x:c>
      <x:c r="R159" s="14" t="n">
        <x:f>Q159*(0.24+MOD(ROW(),7)*0.005)</x:f>
        <x:v>207.5003</x:v>
      </x:c>
    </x:row>
    <x:row r="160">
      <x:c r="A160" s="12" t="n">
        <x:v>46088</x:v>
      </x:c>
      <x:c r="B160" t="str">
        <x:v>EC26-0159</x:v>
      </x:c>
      <x:c r="C160" t="str">
        <x:v>Tamil Nadu</x:v>
      </x:c>
      <x:c r="D160" t="str">
        <x:v>Chennai</x:v>
      </x:c>
      <x:c r="E160" t="str">
        <x:v>Grocery</x:v>
      </x:c>
      <x:c r="F160" t="str">
        <x:v>Protein Bars</x:v>
      </x:c>
      <x:c r="G160" t="str">
        <x:v>Small Business</x:v>
      </x:c>
      <x:c r="H160" t="str">
        <x:v>Mobile App</x:v>
      </x:c>
      <x:c r="I160" t="str">
        <x:v>Wallet</x:v>
      </x:c>
      <x:c r="J160" t="n">
        <x:v>5</x:v>
      </x:c>
      <x:c r="K160" s="14" t="n">
        <x:v>899</x:v>
      </x:c>
      <x:c r="L160" s="16" t="n">
        <x:v>0.12</x:v>
      </x:c>
      <x:c r="M160" t="str">
        <x:v>Simran</x:v>
      </x:c>
      <x:c r="N160" t="n">
        <x:v>2</x:v>
      </x:c>
      <x:c r="O160" s="18" t="n">
        <x:v>4</x:v>
      </x:c>
      <x:c r="P160" s="14" t="n">
        <x:f>J160*K160</x:f>
        <x:v>4495</x:v>
      </x:c>
      <x:c r="Q160" s="14" t="n">
        <x:f>P160*(1-L160)</x:f>
        <x:v>3955.6</x:v>
      </x:c>
      <x:c r="R160" s="14" t="n">
        <x:f>Q160*(0.24+MOD(ROW(),7)*0.005)</x:f>
        <x:v>1068.012</x:v>
      </x:c>
    </x:row>
    <x:row r="161">
      <x:c r="A161" s="12" t="n">
        <x:v>46274</x:v>
      </x:c>
      <x:c r="B161" t="str">
        <x:v>EC26-0160</x:v>
      </x:c>
      <x:c r="C161" t="str">
        <x:v>Telangana</x:v>
      </x:c>
      <x:c r="D161" t="str">
        <x:v>Hyderabad</x:v>
      </x:c>
      <x:c r="E161" t="str">
        <x:v>Beauty</x:v>
      </x:c>
      <x:c r="F161" t="str">
        <x:v>Skincare Kit</x:v>
      </x:c>
      <x:c r="G161" t="str">
        <x:v>Consumer</x:v>
      </x:c>
      <x:c r="H161" t="str">
        <x:v>Website</x:v>
      </x:c>
      <x:c r="I161" t="str">
        <x:v>Debit Card</x:v>
      </x:c>
      <x:c r="J161" t="n">
        <x:v>3</x:v>
      </x:c>
      <x:c r="K161" s="14" t="n">
        <x:v>1299</x:v>
      </x:c>
      <x:c r="L161" s="16" t="n">
        <x:v>0</x:v>
      </x:c>
      <x:c r="M161" t="str">
        <x:v>Ishita</x:v>
      </x:c>
      <x:c r="N161" t="n">
        <x:v>1</x:v>
      </x:c>
      <x:c r="O161" s="18" t="n">
        <x:v>4.5</x:v>
      </x:c>
      <x:c r="P161" s="14" t="n">
        <x:f>J161*K161</x:f>
        <x:v>3897</x:v>
      </x:c>
      <x:c r="Q161" s="14" t="n">
        <x:f>P161*(1-L161)</x:f>
        <x:v>3897</x:v>
      </x:c>
      <x:c r="R161" s="14" t="n">
        <x:f>Q161*(0.24+MOD(ROW(),7)*0.005)</x:f>
        <x:v>935.28</x:v>
      </x:c>
    </x:row>
    <x:row r="162">
      <x:c r="A162" s="12" t="n">
        <x:v>46050</x:v>
      </x:c>
      <x:c r="B162" t="str">
        <x:v>EC26-0161</x:v>
      </x:c>
      <x:c r="C162" t="str">
        <x:v>Gujarat</x:v>
      </x:c>
      <x:c r="D162" t="str">
        <x:v>Ahmedabad</x:v>
      </x:c>
      <x:c r="E162" t="str">
        <x:v>Fashion</x:v>
      </x:c>
      <x:c r="F162" t="str">
        <x:v>Backpack</x:v>
      </x:c>
      <x:c r="G162" t="str">
        <x:v>Small Business</x:v>
      </x:c>
      <x:c r="H162" t="str">
        <x:v>Mobile App</x:v>
      </x:c>
      <x:c r="I162" t="str">
        <x:v>UPI</x:v>
      </x:c>
      <x:c r="J162" t="n">
        <x:v>4</x:v>
      </x:c>
      <x:c r="K162" s="14" t="n">
        <x:v>1799</x:v>
      </x:c>
      <x:c r="L162" s="16" t="n">
        <x:v>0.12</x:v>
      </x:c>
      <x:c r="M162" t="str">
        <x:v>Ishita</x:v>
      </x:c>
      <x:c r="N162" t="n">
        <x:v>2</x:v>
      </x:c>
      <x:c r="O162" s="18" t="n">
        <x:v>5</x:v>
      </x:c>
      <x:c r="P162" s="14" t="n">
        <x:f>J162*K162</x:f>
        <x:v>7196</x:v>
      </x:c>
      <x:c r="Q162" s="14" t="n">
        <x:f>P162*(1-L162)</x:f>
        <x:v>6332.4800000000005</x:v>
      </x:c>
      <x:c r="R162" s="14" t="n">
        <x:f>Q162*(0.24+MOD(ROW(),7)*0.005)</x:f>
        <x:v>1551.4576000000002</x:v>
      </x:c>
    </x:row>
    <x:row r="163">
      <x:c r="A163" s="12" t="n">
        <x:v>46161</x:v>
      </x:c>
      <x:c r="B163" t="str">
        <x:v>EC26-0162</x:v>
      </x:c>
      <x:c r="C163" t="str">
        <x:v>Tamil Nadu</x:v>
      </x:c>
      <x:c r="D163" t="str">
        <x:v>Chennai</x:v>
      </x:c>
      <x:c r="E163" t="str">
        <x:v>Fashion</x:v>
      </x:c>
      <x:c r="F163" t="str">
        <x:v>Denim Jacket</x:v>
      </x:c>
      <x:c r="G163" t="str">
        <x:v>Small Business</x:v>
      </x:c>
      <x:c r="H163" t="str">
        <x:v>Mobile App</x:v>
      </x:c>
      <x:c r="I163" t="str">
        <x:v>UPI</x:v>
      </x:c>
      <x:c r="J163" t="n">
        <x:v>1</x:v>
      </x:c>
      <x:c r="K163" s="14" t="n">
        <x:v>2999</x:v>
      </x:c>
      <x:c r="L163" s="16" t="n">
        <x:v>0.05</x:v>
      </x:c>
      <x:c r="M163" t="str">
        <x:v>Vihaan</x:v>
      </x:c>
      <x:c r="N163" t="n">
        <x:v>6</x:v>
      </x:c>
      <x:c r="O163" s="18" t="n">
        <x:v>3</x:v>
      </x:c>
      <x:c r="P163" s="14" t="n">
        <x:f>J163*K163</x:f>
        <x:v>2999</x:v>
      </x:c>
      <x:c r="Q163" s="14" t="n">
        <x:f>P163*(1-L163)</x:f>
        <x:v>2849.0499999999997</x:v>
      </x:c>
      <x:c r="R163" s="14" t="n">
        <x:f>Q163*(0.24+MOD(ROW(),7)*0.005)</x:f>
        <x:v>712.2624999999999</x:v>
      </x:c>
    </x:row>
    <x:row r="164">
      <x:c r="A164" s="12" t="n">
        <x:v>46076</x:v>
      </x:c>
      <x:c r="B164" t="str">
        <x:v>EC26-0163</x:v>
      </x:c>
      <x:c r="C164" t="str">
        <x:v>Uttar Pradesh</x:v>
      </x:c>
      <x:c r="D164" t="str">
        <x:v>Lucknow</x:v>
      </x:c>
      <x:c r="E164" t="str">
        <x:v>Home</x:v>
      </x:c>
      <x:c r="F164" t="str">
        <x:v>Bedsheet Set</x:v>
      </x:c>
      <x:c r="G164" t="str">
        <x:v>Consumer</x:v>
      </x:c>
      <x:c r="H164" t="str">
        <x:v>Website</x:v>
      </x:c>
      <x:c r="I164" t="str">
        <x:v>UPI</x:v>
      </x:c>
      <x:c r="J164" t="n">
        <x:v>1</x:v>
      </x:c>
      <x:c r="K164" s="14" t="n">
        <x:v>1499</x:v>
      </x:c>
      <x:c r="L164" s="16" t="n">
        <x:v>0</x:v>
      </x:c>
      <x:c r="M164" t="str">
        <x:v>Kabir</x:v>
      </x:c>
      <x:c r="N164" t="n">
        <x:v>2</x:v>
      </x:c>
      <x:c r="O164" s="18" t="n">
        <x:v>3</x:v>
      </x:c>
      <x:c r="P164" s="14" t="n">
        <x:f>J164*K164</x:f>
        <x:v>1499</x:v>
      </x:c>
      <x:c r="Q164" s="14" t="n">
        <x:f>P164*(1-L164)</x:f>
        <x:v>1499</x:v>
      </x:c>
      <x:c r="R164" s="14" t="n">
        <x:f>Q164*(0.24+MOD(ROW(),7)*0.005)</x:f>
        <x:v>382.245</x:v>
      </x:c>
    </x:row>
    <x:row r="165">
      <x:c r="A165" s="12" t="n">
        <x:v>46078</x:v>
      </x:c>
      <x:c r="B165" t="str">
        <x:v>EC26-0164</x:v>
      </x:c>
      <x:c r="C165" t="str">
        <x:v>Uttar Pradesh</x:v>
      </x:c>
      <x:c r="D165" t="str">
        <x:v>Lucknow</x:v>
      </x:c>
      <x:c r="E165" t="str">
        <x:v>Fashion</x:v>
      </x:c>
      <x:c r="F165" t="str">
        <x:v>Running Shoes</x:v>
      </x:c>
      <x:c r="G165" t="str">
        <x:v>Consumer</x:v>
      </x:c>
      <x:c r="H165" t="str">
        <x:v>Website</x:v>
      </x:c>
      <x:c r="I165" t="str">
        <x:v>Debit Card</x:v>
      </x:c>
      <x:c r="J165" t="n">
        <x:v>1</x:v>
      </x:c>
      <x:c r="K165" s="14" t="n">
        <x:v>3499</x:v>
      </x:c>
      <x:c r="L165" s="16" t="n">
        <x:v>0.12</x:v>
      </x:c>
      <x:c r="M165" t="str">
        <x:v>Kabir</x:v>
      </x:c>
      <x:c r="N165" t="n">
        <x:v>4</x:v>
      </x:c>
      <x:c r="O165" s="18" t="n">
        <x:v>4</x:v>
      </x:c>
      <x:c r="P165" s="14" t="n">
        <x:f>J165*K165</x:f>
        <x:v>3499</x:v>
      </x:c>
      <x:c r="Q165" s="14" t="n">
        <x:f>P165*(1-L165)</x:f>
        <x:v>3079.12</x:v>
      </x:c>
      <x:c r="R165" s="14" t="n">
        <x:f>Q165*(0.24+MOD(ROW(),7)*0.005)</x:f>
        <x:v>800.5712</x:v>
      </x:c>
    </x:row>
    <x:row r="166">
      <x:c r="A166" s="12" t="n">
        <x:v>46082</x:v>
      </x:c>
      <x:c r="B166" t="str">
        <x:v>EC26-0165</x:v>
      </x:c>
      <x:c r="C166" t="str">
        <x:v>Rajasthan</x:v>
      </x:c>
      <x:c r="D166" t="str">
        <x:v>Jaipur</x:v>
      </x:c>
      <x:c r="E166" t="str">
        <x:v>Fashion</x:v>
      </x:c>
      <x:c r="F166" t="str">
        <x:v>Denim Jacket</x:v>
      </x:c>
      <x:c r="G166" t="str">
        <x:v>Small Business</x:v>
      </x:c>
      <x:c r="H166" t="str">
        <x:v>Website</x:v>
      </x:c>
      <x:c r="I166" t="str">
        <x:v>Credit Card</x:v>
      </x:c>
      <x:c r="J166" t="n">
        <x:v>1</x:v>
      </x:c>
      <x:c r="K166" s="14" t="n">
        <x:v>2999</x:v>
      </x:c>
      <x:c r="L166" s="16" t="n">
        <x:v>0</x:v>
      </x:c>
      <x:c r="M166" t="str">
        <x:v>Vihaan</x:v>
      </x:c>
      <x:c r="N166" t="n">
        <x:v>4</x:v>
      </x:c>
      <x:c r="O166" s="18" t="n">
        <x:v>3.5</x:v>
      </x:c>
      <x:c r="P166" s="14" t="n">
        <x:f>J166*K166</x:f>
        <x:v>2999</x:v>
      </x:c>
      <x:c r="Q166" s="14" t="n">
        <x:f>P166*(1-L166)</x:f>
        <x:v>2999</x:v>
      </x:c>
      <x:c r="R166" s="14" t="n">
        <x:f>Q166*(0.24+MOD(ROW(),7)*0.005)</x:f>
        <x:v>794.735</x:v>
      </x:c>
    </x:row>
    <x:row r="167">
      <x:c r="A167" s="12" t="n">
        <x:v>46139</x:v>
      </x:c>
      <x:c r="B167" t="str">
        <x:v>EC26-0166</x:v>
      </x:c>
      <x:c r="C167" t="str">
        <x:v>Uttar Pradesh</x:v>
      </x:c>
      <x:c r="D167" t="str">
        <x:v>Lucknow</x:v>
      </x:c>
      <x:c r="E167" t="str">
        <x:v>Fashion</x:v>
      </x:c>
      <x:c r="F167" t="str">
        <x:v>Running Shoes</x:v>
      </x:c>
      <x:c r="G167" t="str">
        <x:v>Consumer</x:v>
      </x:c>
      <x:c r="H167" t="str">
        <x:v>Website</x:v>
      </x:c>
      <x:c r="I167" t="str">
        <x:v>Credit Card</x:v>
      </x:c>
      <x:c r="J167" t="n">
        <x:v>4</x:v>
      </x:c>
      <x:c r="K167" s="14" t="n">
        <x:v>3499</x:v>
      </x:c>
      <x:c r="L167" s="16" t="n">
        <x:v>0.02</x:v>
      </x:c>
      <x:c r="M167" t="str">
        <x:v>Vihaan</x:v>
      </x:c>
      <x:c r="N167" t="n">
        <x:v>2</x:v>
      </x:c>
      <x:c r="O167" s="18" t="n">
        <x:v>5</x:v>
      </x:c>
      <x:c r="P167" s="14" t="n">
        <x:f>J167*K167</x:f>
        <x:v>13996</x:v>
      </x:c>
      <x:c r="Q167" s="14" t="n">
        <x:f>P167*(1-L167)</x:f>
        <x:v>13716.08</x:v>
      </x:c>
      <x:c r="R167" s="14" t="n">
        <x:f>Q167*(0.24+MOD(ROW(),7)*0.005)</x:f>
        <x:v>3703.3416</x:v>
      </x:c>
    </x:row>
    <x:row r="168">
      <x:c r="A168" s="12" t="n">
        <x:v>46295</x:v>
      </x:c>
      <x:c r="B168" t="str">
        <x:v>EC26-0167</x:v>
      </x:c>
      <x:c r="C168" t="str">
        <x:v>West Bengal</x:v>
      </x:c>
      <x:c r="D168" t="str">
        <x:v>Kolkata</x:v>
      </x:c>
      <x:c r="E168" t="str">
        <x:v>Beauty</x:v>
      </x:c>
      <x:c r="F168" t="str">
        <x:v>Perfume</x:v>
      </x:c>
      <x:c r="G168" t="str">
        <x:v>Consumer</x:v>
      </x:c>
      <x:c r="H168" t="str">
        <x:v>Mobile App</x:v>
      </x:c>
      <x:c r="I168" t="str">
        <x:v>Debit Card</x:v>
      </x:c>
      <x:c r="J168" t="n">
        <x:v>1</x:v>
      </x:c>
      <x:c r="K168" s="14" t="n">
        <x:v>2499</x:v>
      </x:c>
      <x:c r="L168" s="16" t="n">
        <x:v>0.12</x:v>
      </x:c>
      <x:c r="M168" t="str">
        <x:v>Kabir</x:v>
      </x:c>
      <x:c r="N168" t="n">
        <x:v>3</x:v>
      </x:c>
      <x:c r="O168" s="18" t="n">
        <x:v>4</x:v>
      </x:c>
      <x:c r="P168" s="14" t="n">
        <x:f>J168*K168</x:f>
        <x:v>2499</x:v>
      </x:c>
      <x:c r="Q168" s="14" t="n">
        <x:f>P168*(1-L168)</x:f>
        <x:v>2199.12</x:v>
      </x:c>
      <x:c r="R168" s="14" t="n">
        <x:f>Q168*(0.24+MOD(ROW(),7)*0.005)</x:f>
        <x:v>527.7887999999999</x:v>
      </x:c>
    </x:row>
    <x:row r="169">
      <x:c r="A169" s="12" t="n">
        <x:v>46375</x:v>
      </x:c>
      <x:c r="B169" t="str">
        <x:v>EC26-0168</x:v>
      </x:c>
      <x:c r="C169" t="str">
        <x:v>Uttar Pradesh</x:v>
      </x:c>
      <x:c r="D169" t="str">
        <x:v>Lucknow</x:v>
      </x:c>
      <x:c r="E169" t="str">
        <x:v>Home</x:v>
      </x:c>
      <x:c r="F169" t="str">
        <x:v>Bedsheet Set</x:v>
      </x:c>
      <x:c r="G169" t="str">
        <x:v>Corporate</x:v>
      </x:c>
      <x:c r="H169" t="str">
        <x:v>Mobile App</x:v>
      </x:c>
      <x:c r="I169" t="str">
        <x:v>Debit Card</x:v>
      </x:c>
      <x:c r="J169" t="n">
        <x:v>1</x:v>
      </x:c>
      <x:c r="K169" s="14" t="n">
        <x:v>1499</x:v>
      </x:c>
      <x:c r="L169" s="16" t="n">
        <x:v>0.15</x:v>
      </x:c>
      <x:c r="M169" t="str">
        <x:v>Ishita</x:v>
      </x:c>
      <x:c r="N169" t="n">
        <x:v>4</x:v>
      </x:c>
      <x:c r="O169" s="18" t="n">
        <x:v>4</x:v>
      </x:c>
      <x:c r="P169" s="14" t="n">
        <x:f>J169*K169</x:f>
        <x:v>1499</x:v>
      </x:c>
      <x:c r="Q169" s="14" t="n">
        <x:f>P169*(1-L169)</x:f>
        <x:v>1274.1499999999999</x:v>
      </x:c>
      <x:c r="R169" s="14" t="n">
        <x:f>Q169*(0.24+MOD(ROW(),7)*0.005)</x:f>
        <x:v>312.16675</x:v>
      </x:c>
    </x:row>
    <x:row r="170">
      <x:c r="A170" s="12" t="n">
        <x:v>46344</x:v>
      </x:c>
      <x:c r="B170" t="str">
        <x:v>EC26-0169</x:v>
      </x:c>
      <x:c r="C170" t="str">
        <x:v>West Bengal</x:v>
      </x:c>
      <x:c r="D170" t="str">
        <x:v>Kolkata</x:v>
      </x:c>
      <x:c r="E170" t="str">
        <x:v>Home</x:v>
      </x:c>
      <x:c r="F170" t="str">
        <x:v>LED Lamp</x:v>
      </x:c>
      <x:c r="G170" t="str">
        <x:v>Corporate</x:v>
      </x:c>
      <x:c r="H170" t="str">
        <x:v>Mobile App</x:v>
      </x:c>
      <x:c r="I170" t="str">
        <x:v>UPI</x:v>
      </x:c>
      <x:c r="J170" t="n">
        <x:v>2</x:v>
      </x:c>
      <x:c r="K170" s="14" t="n">
        <x:v>899</x:v>
      </x:c>
      <x:c r="L170" s="16" t="n">
        <x:v>0.07</x:v>
      </x:c>
      <x:c r="M170" t="str">
        <x:v>Rohan</x:v>
      </x:c>
      <x:c r="N170" t="n">
        <x:v>5</x:v>
      </x:c>
      <x:c r="O170" s="18" t="n">
        <x:v>5</x:v>
      </x:c>
      <x:c r="P170" s="14" t="n">
        <x:f>J170*K170</x:f>
        <x:v>1798</x:v>
      </x:c>
      <x:c r="Q170" s="14" t="n">
        <x:f>P170*(1-L170)</x:f>
        <x:v>1672.1399999999999</x:v>
      </x:c>
      <x:c r="R170" s="14" t="n">
        <x:f>Q170*(0.24+MOD(ROW(),7)*0.005)</x:f>
        <x:v>418.03499999999997</x:v>
      </x:c>
    </x:row>
    <x:row r="171">
      <x:c r="A171" s="12" t="n">
        <x:v>46262</x:v>
      </x:c>
      <x:c r="B171" t="str">
        <x:v>EC26-0170</x:v>
      </x:c>
      <x:c r="C171" t="str">
        <x:v>Karnataka</x:v>
      </x:c>
      <x:c r="D171" t="str">
        <x:v>Bengaluru</x:v>
      </x:c>
      <x:c r="E171" t="str">
        <x:v>Fashion</x:v>
      </x:c>
      <x:c r="F171" t="str">
        <x:v>Sneakers</x:v>
      </x:c>
      <x:c r="G171" t="str">
        <x:v>Consumer</x:v>
      </x:c>
      <x:c r="H171" t="str">
        <x:v>Marketplace</x:v>
      </x:c>
      <x:c r="I171" t="str">
        <x:v>Debit Card</x:v>
      </x:c>
      <x:c r="J171" t="n">
        <x:v>1</x:v>
      </x:c>
      <x:c r="K171" s="14" t="n">
        <x:v>2799</x:v>
      </x:c>
      <x:c r="L171" s="16" t="n">
        <x:v>0.12</x:v>
      </x:c>
      <x:c r="M171" t="str">
        <x:v>Simran</x:v>
      </x:c>
      <x:c r="N171" t="n">
        <x:v>1</x:v>
      </x:c>
      <x:c r="O171" s="18" t="n">
        <x:v>4.5</x:v>
      </x:c>
      <x:c r="P171" s="14" t="n">
        <x:f>J171*K171</x:f>
        <x:v>2799</x:v>
      </x:c>
      <x:c r="Q171" s="14" t="n">
        <x:f>P171*(1-L171)</x:f>
        <x:v>2463.12</x:v>
      </x:c>
      <x:c r="R171" s="14" t="n">
        <x:f>Q171*(0.24+MOD(ROW(),7)*0.005)</x:f>
        <x:v>628.0956</x:v>
      </x:c>
    </x:row>
    <x:row r="172">
      <x:c r="A172" s="12" t="n">
        <x:v>46209</x:v>
      </x:c>
      <x:c r="B172" t="str">
        <x:v>EC26-0171</x:v>
      </x:c>
      <x:c r="C172" t="str">
        <x:v>West Bengal</x:v>
      </x:c>
      <x:c r="D172" t="str">
        <x:v>Kolkata</x:v>
      </x:c>
      <x:c r="E172" t="str">
        <x:v>Electronics</x:v>
      </x:c>
      <x:c r="F172" t="str">
        <x:v>USB-C Hub</x:v>
      </x:c>
      <x:c r="G172" t="str">
        <x:v>Corporate</x:v>
      </x:c>
      <x:c r="H172" t="str">
        <x:v>Mobile App</x:v>
      </x:c>
      <x:c r="I172" t="str">
        <x:v>Credit Card</x:v>
      </x:c>
      <x:c r="J172" t="n">
        <x:v>1</x:v>
      </x:c>
      <x:c r="K172" s="14" t="n">
        <x:v>1999</x:v>
      </x:c>
      <x:c r="L172" s="16" t="n">
        <x:v>0.05</x:v>
      </x:c>
      <x:c r="M172" t="str">
        <x:v>Meera</x:v>
      </x:c>
      <x:c r="N172" t="n">
        <x:v>2</x:v>
      </x:c>
      <x:c r="O172" s="18" t="n">
        <x:v>4.5</x:v>
      </x:c>
      <x:c r="P172" s="14" t="n">
        <x:f>J172*K172</x:f>
        <x:v>1999</x:v>
      </x:c>
      <x:c r="Q172" s="14" t="n">
        <x:f>P172*(1-L172)</x:f>
        <x:v>1899.05</x:v>
      </x:c>
      <x:c r="R172" s="14" t="n">
        <x:f>Q172*(0.24+MOD(ROW(),7)*0.005)</x:f>
        <x:v>493.753</x:v>
      </x:c>
    </x:row>
    <x:row r="173">
      <x:c r="A173" s="12" t="n">
        <x:v>46367</x:v>
      </x:c>
      <x:c r="B173" t="str">
        <x:v>EC26-0172</x:v>
      </x:c>
      <x:c r="C173" t="str">
        <x:v>Kerala</x:v>
      </x:c>
      <x:c r="D173" t="str">
        <x:v>Kochi</x:v>
      </x:c>
      <x:c r="E173" t="str">
        <x:v>Fashion</x:v>
      </x:c>
      <x:c r="F173" t="str">
        <x:v>Backpack</x:v>
      </x:c>
      <x:c r="G173" t="str">
        <x:v>Corporate</x:v>
      </x:c>
      <x:c r="H173" t="str">
        <x:v>Website</x:v>
      </x:c>
      <x:c r="I173" t="str">
        <x:v>UPI</x:v>
      </x:c>
      <x:c r="J173" t="n">
        <x:v>2</x:v>
      </x:c>
      <x:c r="K173" s="14" t="n">
        <x:v>1799</x:v>
      </x:c>
      <x:c r="L173" s="16" t="n">
        <x:v>0.07</x:v>
      </x:c>
      <x:c r="M173" t="str">
        <x:v>Vihaan</x:v>
      </x:c>
      <x:c r="N173" t="n">
        <x:v>3</x:v>
      </x:c>
      <x:c r="O173" s="18" t="n">
        <x:v>4</x:v>
      </x:c>
      <x:c r="P173" s="14" t="n">
        <x:f>J173*K173</x:f>
        <x:v>3598</x:v>
      </x:c>
      <x:c r="Q173" s="14" t="n">
        <x:f>P173*(1-L173)</x:f>
        <x:v>3346.14</x:v>
      </x:c>
      <x:c r="R173" s="14" t="n">
        <x:f>Q173*(0.24+MOD(ROW(),7)*0.005)</x:f>
        <x:v>886.7271000000001</x:v>
      </x:c>
    </x:row>
    <x:row r="174">
      <x:c r="A174" s="12" t="n">
        <x:v>46329</x:v>
      </x:c>
      <x:c r="B174" t="str">
        <x:v>EC26-0173</x:v>
      </x:c>
      <x:c r="C174" t="str">
        <x:v>Telangana</x:v>
      </x:c>
      <x:c r="D174" t="str">
        <x:v>Hyderabad</x:v>
      </x:c>
      <x:c r="E174" t="str">
        <x:v>Electronics</x:v>
      </x:c>
      <x:c r="F174" t="str">
        <x:v>Smartwatch</x:v>
      </x:c>
      <x:c r="G174" t="str">
        <x:v>Corporate</x:v>
      </x:c>
      <x:c r="H174" t="str">
        <x:v>Mobile App</x:v>
      </x:c>
      <x:c r="I174" t="str">
        <x:v>Wallet</x:v>
      </x:c>
      <x:c r="J174" t="n">
        <x:v>2</x:v>
      </x:c>
      <x:c r="K174" s="14" t="n">
        <x:v>3999</x:v>
      </x:c>
      <x:c r="L174" s="16" t="n">
        <x:v>0</x:v>
      </x:c>
      <x:c r="M174" t="str">
        <x:v>Meera</x:v>
      </x:c>
      <x:c r="N174" t="n">
        <x:v>5</x:v>
      </x:c>
      <x:c r="O174" s="18" t="n">
        <x:v>5</x:v>
      </x:c>
      <x:c r="P174" s="14" t="n">
        <x:f>J174*K174</x:f>
        <x:v>7998</x:v>
      </x:c>
      <x:c r="Q174" s="14" t="n">
        <x:f>P174*(1-L174)</x:f>
        <x:v>7998</x:v>
      </x:c>
      <x:c r="R174" s="14" t="n">
        <x:f>Q174*(0.24+MOD(ROW(),7)*0.005)</x:f>
        <x:v>2159.46</x:v>
      </x:c>
    </x:row>
    <x:row r="175">
      <x:c r="A175" s="12" t="n">
        <x:v>46238</x:v>
      </x:c>
      <x:c r="B175" t="str">
        <x:v>EC26-0174</x:v>
      </x:c>
      <x:c r="C175" t="str">
        <x:v>Gujarat</x:v>
      </x:c>
      <x:c r="D175" t="str">
        <x:v>Ahmedabad</x:v>
      </x:c>
      <x:c r="E175" t="str">
        <x:v>Electronics</x:v>
      </x:c>
      <x:c r="F175" t="str">
        <x:v>Power Bank</x:v>
      </x:c>
      <x:c r="G175" t="str">
        <x:v>Small Business</x:v>
      </x:c>
      <x:c r="H175" t="str">
        <x:v>Mobile App</x:v>
      </x:c>
      <x:c r="I175" t="str">
        <x:v>Debit Card</x:v>
      </x:c>
      <x:c r="J175" t="n">
        <x:v>1</x:v>
      </x:c>
      <x:c r="K175" s="14" t="n">
        <x:v>1499</x:v>
      </x:c>
      <x:c r="L175" s="16" t="n">
        <x:v>0.1</x:v>
      </x:c>
      <x:c r="M175" t="str">
        <x:v>Ishita</x:v>
      </x:c>
      <x:c r="N175" t="n">
        <x:v>3</x:v>
      </x:c>
      <x:c r="O175" s="18" t="n">
        <x:v>4</x:v>
      </x:c>
      <x:c r="P175" s="14" t="n">
        <x:f>J175*K175</x:f>
        <x:v>1499</x:v>
      </x:c>
      <x:c r="Q175" s="14" t="n">
        <x:f>P175*(1-L175)</x:f>
        <x:v>1349.1000000000001</x:v>
      </x:c>
      <x:c r="R175" s="14" t="n">
        <x:f>Q175*(0.24+MOD(ROW(),7)*0.005)</x:f>
        <x:v>323.78400000000005</x:v>
      </x:c>
    </x:row>
    <x:row r="176">
      <x:c r="A176" s="12" t="n">
        <x:v>46052</x:v>
      </x:c>
      <x:c r="B176" t="str">
        <x:v>EC26-0175</x:v>
      </x:c>
      <x:c r="C176" t="str">
        <x:v>West Bengal</x:v>
      </x:c>
      <x:c r="D176" t="str">
        <x:v>Kolkata</x:v>
      </x:c>
      <x:c r="E176" t="str">
        <x:v>Grocery</x:v>
      </x:c>
      <x:c r="F176" t="str">
        <x:v>Healthy Snacks</x:v>
      </x:c>
      <x:c r="G176" t="str">
        <x:v>Consumer</x:v>
      </x:c>
      <x:c r="H176" t="str">
        <x:v>Marketplace</x:v>
      </x:c>
      <x:c r="I176" t="str">
        <x:v>COD</x:v>
      </x:c>
      <x:c r="J176" t="n">
        <x:v>1</x:v>
      </x:c>
      <x:c r="K176" s="14" t="n">
        <x:v>599</x:v>
      </x:c>
      <x:c r="L176" s="16" t="n">
        <x:v>0.12</x:v>
      </x:c>
      <x:c r="M176" t="str">
        <x:v>Kabir</x:v>
      </x:c>
      <x:c r="N176" t="n">
        <x:v>5</x:v>
      </x:c>
      <x:c r="O176" s="18" t="n">
        <x:v>3</x:v>
      </x:c>
      <x:c r="P176" s="14" t="n">
        <x:f>J176*K176</x:f>
        <x:v>599</x:v>
      </x:c>
      <x:c r="Q176" s="14" t="n">
        <x:f>P176*(1-L176)</x:f>
        <x:v>527.12</x:v>
      </x:c>
      <x:c r="R176" s="14" t="n">
        <x:f>Q176*(0.24+MOD(ROW(),7)*0.005)</x:f>
        <x:v>129.1444</x:v>
      </x:c>
    </x:row>
    <x:row r="177">
      <x:c r="A177" s="12" t="n">
        <x:v>46343</x:v>
      </x:c>
      <x:c r="B177" t="str">
        <x:v>EC26-0176</x:v>
      </x:c>
      <x:c r="C177" t="str">
        <x:v>Rajasthan</x:v>
      </x:c>
      <x:c r="D177" t="str">
        <x:v>Jaipur</x:v>
      </x:c>
      <x:c r="E177" t="str">
        <x:v>Beauty</x:v>
      </x:c>
      <x:c r="F177" t="str">
        <x:v>Perfume</x:v>
      </x:c>
      <x:c r="G177" t="str">
        <x:v>Small Business</x:v>
      </x:c>
      <x:c r="H177" t="str">
        <x:v>Marketplace</x:v>
      </x:c>
      <x:c r="I177" t="str">
        <x:v>Wallet</x:v>
      </x:c>
      <x:c r="J177" t="n">
        <x:v>2</x:v>
      </x:c>
      <x:c r="K177" s="14" t="n">
        <x:v>2499</x:v>
      </x:c>
      <x:c r="L177" s="16" t="n">
        <x:v>0.02</x:v>
      </x:c>
      <x:c r="M177" t="str">
        <x:v>Anaya</x:v>
      </x:c>
      <x:c r="N177" t="n">
        <x:v>2</x:v>
      </x:c>
      <x:c r="O177" s="18" t="n">
        <x:v>3</x:v>
      </x:c>
      <x:c r="P177" s="14" t="n">
        <x:f>J177*K177</x:f>
        <x:v>4998</x:v>
      </x:c>
      <x:c r="Q177" s="14" t="n">
        <x:f>P177*(1-L177)</x:f>
        <x:v>4898.04</x:v>
      </x:c>
      <x:c r="R177" s="14" t="n">
        <x:f>Q177*(0.24+MOD(ROW(),7)*0.005)</x:f>
        <x:v>1224.51</x:v>
      </x:c>
    </x:row>
    <x:row r="178">
      <x:c r="A178" s="12" t="n">
        <x:v>46314</x:v>
      </x:c>
      <x:c r="B178" t="str">
        <x:v>EC26-0177</x:v>
      </x:c>
      <x:c r="C178" t="str">
        <x:v>Rajasthan</x:v>
      </x:c>
      <x:c r="D178" t="str">
        <x:v>Jaipur</x:v>
      </x:c>
      <x:c r="E178" t="str">
        <x:v>Grocery</x:v>
      </x:c>
      <x:c r="F178" t="str">
        <x:v>Protein Bars</x:v>
      </x:c>
      <x:c r="G178" t="str">
        <x:v>Consumer</x:v>
      </x:c>
      <x:c r="H178" t="str">
        <x:v>Website</x:v>
      </x:c>
      <x:c r="I178" t="str">
        <x:v>Wallet</x:v>
      </x:c>
      <x:c r="J178" t="n">
        <x:v>1</x:v>
      </x:c>
      <x:c r="K178" s="14" t="n">
        <x:v>899</x:v>
      </x:c>
      <x:c r="L178" s="16" t="n">
        <x:v>0</x:v>
      </x:c>
      <x:c r="M178" t="str">
        <x:v>Kabir</x:v>
      </x:c>
      <x:c r="N178" t="n">
        <x:v>2</x:v>
      </x:c>
      <x:c r="O178" s="18" t="n">
        <x:v>3</x:v>
      </x:c>
      <x:c r="P178" s="14" t="n">
        <x:f>J178*K178</x:f>
        <x:v>899</x:v>
      </x:c>
      <x:c r="Q178" s="14" t="n">
        <x:f>P178*(1-L178)</x:f>
        <x:v>899</x:v>
      </x:c>
      <x:c r="R178" s="14" t="n">
        <x:f>Q178*(0.24+MOD(ROW(),7)*0.005)</x:f>
        <x:v>229.245</x:v>
      </x:c>
    </x:row>
    <x:row r="179">
      <x:c r="A179" s="12" t="n">
        <x:v>46275</x:v>
      </x:c>
      <x:c r="B179" t="str">
        <x:v>EC26-0178</x:v>
      </x:c>
      <x:c r="C179" t="str">
        <x:v>Maharashtra</x:v>
      </x:c>
      <x:c r="D179" t="str">
        <x:v>Mumbai</x:v>
      </x:c>
      <x:c r="E179" t="str">
        <x:v>Electronics</x:v>
      </x:c>
      <x:c r="F179" t="str">
        <x:v>Power Bank</x:v>
      </x:c>
      <x:c r="G179" t="str">
        <x:v>Small Business</x:v>
      </x:c>
      <x:c r="H179" t="str">
        <x:v>Marketplace</x:v>
      </x:c>
      <x:c r="I179" t="str">
        <x:v>Debit Card</x:v>
      </x:c>
      <x:c r="J179" t="n">
        <x:v>4</x:v>
      </x:c>
      <x:c r="K179" s="14" t="n">
        <x:v>1499</x:v>
      </x:c>
      <x:c r="L179" s="16" t="n">
        <x:v>0.02</x:v>
      </x:c>
      <x:c r="M179" t="str">
        <x:v>Rohan</x:v>
      </x:c>
      <x:c r="N179" t="n">
        <x:v>2</x:v>
      </x:c>
      <x:c r="O179" s="18" t="n">
        <x:v>4.5</x:v>
      </x:c>
      <x:c r="P179" s="14" t="n">
        <x:f>J179*K179</x:f>
        <x:v>5996</x:v>
      </x:c>
      <x:c r="Q179" s="14" t="n">
        <x:f>P179*(1-L179)</x:f>
        <x:v>5876.08</x:v>
      </x:c>
      <x:c r="R179" s="14" t="n">
        <x:f>Q179*(0.24+MOD(ROW(),7)*0.005)</x:f>
        <x:v>1527.7808</x:v>
      </x:c>
    </x:row>
    <x:row r="180">
      <x:c r="A180" s="12" t="n">
        <x:v>46096</x:v>
      </x:c>
      <x:c r="B180" t="str">
        <x:v>EC26-0179</x:v>
      </x:c>
      <x:c r="C180" t="str">
        <x:v>Maharashtra</x:v>
      </x:c>
      <x:c r="D180" t="str">
        <x:v>Mumbai</x:v>
      </x:c>
      <x:c r="E180" t="str">
        <x:v>Beauty</x:v>
      </x:c>
      <x:c r="F180" t="str">
        <x:v>Hair Dryer</x:v>
      </x:c>
      <x:c r="G180" t="str">
        <x:v>Consumer</x:v>
      </x:c>
      <x:c r="H180" t="str">
        <x:v>Website</x:v>
      </x:c>
      <x:c r="I180" t="str">
        <x:v>COD</x:v>
      </x:c>
      <x:c r="J180" t="n">
        <x:v>1</x:v>
      </x:c>
      <x:c r="K180" s="14" t="n">
        <x:v>1899</x:v>
      </x:c>
      <x:c r="L180" s="16" t="n">
        <x:v>0.05</x:v>
      </x:c>
      <x:c r="M180" t="str">
        <x:v>Anaya</x:v>
      </x:c>
      <x:c r="N180" t="n">
        <x:v>3</x:v>
      </x:c>
      <x:c r="O180" s="18" t="n">
        <x:v>5</x:v>
      </x:c>
      <x:c r="P180" s="14" t="n">
        <x:f>J180*K180</x:f>
        <x:v>1899</x:v>
      </x:c>
      <x:c r="Q180" s="14" t="n">
        <x:f>P180*(1-L180)</x:f>
        <x:v>1804.05</x:v>
      </x:c>
      <x:c r="R180" s="14" t="n">
        <x:f>Q180*(0.24+MOD(ROW(),7)*0.005)</x:f>
        <x:v>478.07325000000003</x:v>
      </x:c>
    </x:row>
    <x:row r="181">
      <x:c r="A181" s="12" t="n">
        <x:v>46220</x:v>
      </x:c>
      <x:c r="B181" t="str">
        <x:v>EC26-0180</x:v>
      </x:c>
      <x:c r="C181" t="str">
        <x:v>Telangana</x:v>
      </x:c>
      <x:c r="D181" t="str">
        <x:v>Hyderabad</x:v>
      </x:c>
      <x:c r="E181" t="str">
        <x:v>Fashion</x:v>
      </x:c>
      <x:c r="F181" t="str">
        <x:v>Hoodie</x:v>
      </x:c>
      <x:c r="G181" t="str">
        <x:v>Corporate</x:v>
      </x:c>
      <x:c r="H181" t="str">
        <x:v>Marketplace</x:v>
      </x:c>
      <x:c r="I181" t="str">
        <x:v>COD</x:v>
      </x:c>
      <x:c r="J181" t="n">
        <x:v>2</x:v>
      </x:c>
      <x:c r="K181" s="14" t="n">
        <x:v>1999</x:v>
      </x:c>
      <x:c r="L181" s="16" t="n">
        <x:v>0</x:v>
      </x:c>
      <x:c r="M181" t="str">
        <x:v>Anaya</x:v>
      </x:c>
      <x:c r="N181" t="n">
        <x:v>3</x:v>
      </x:c>
      <x:c r="O181" s="18" t="n">
        <x:v>4</x:v>
      </x:c>
      <x:c r="P181" s="14" t="n">
        <x:f>J181*K181</x:f>
        <x:v>3998</x:v>
      </x:c>
      <x:c r="Q181" s="14" t="n">
        <x:f>P181*(1-L181)</x:f>
        <x:v>3998</x:v>
      </x:c>
      <x:c r="R181" s="14" t="n">
        <x:f>Q181*(0.24+MOD(ROW(),7)*0.005)</x:f>
        <x:v>1079.46</x:v>
      </x:c>
    </x:row>
    <x:row r="182">
      <x:c r="A182" s="12" t="n">
        <x:v>46169</x:v>
      </x:c>
      <x:c r="B182" t="str">
        <x:v>EC26-0181</x:v>
      </x:c>
      <x:c r="C182" t="str">
        <x:v>Karnataka</x:v>
      </x:c>
      <x:c r="D182" t="str">
        <x:v>Bengaluru</x:v>
      </x:c>
      <x:c r="E182" t="str">
        <x:v>Home</x:v>
      </x:c>
      <x:c r="F182" t="str">
        <x:v>Bedsheet Set</x:v>
      </x:c>
      <x:c r="G182" t="str">
        <x:v>Corporate</x:v>
      </x:c>
      <x:c r="H182" t="str">
        <x:v>Mobile App</x:v>
      </x:c>
      <x:c r="I182" t="str">
        <x:v>COD</x:v>
      </x:c>
      <x:c r="J182" t="n">
        <x:v>3</x:v>
      </x:c>
      <x:c r="K182" s="14" t="n">
        <x:v>1499</x:v>
      </x:c>
      <x:c r="L182" s="16" t="n">
        <x:v>0.15</x:v>
      </x:c>
      <x:c r="M182" t="str">
        <x:v>Vihaan</x:v>
      </x:c>
      <x:c r="N182" t="n">
        <x:v>3</x:v>
      </x:c>
      <x:c r="O182" s="18" t="n">
        <x:v>4.5</x:v>
      </x:c>
      <x:c r="P182" s="14" t="n">
        <x:f>J182*K182</x:f>
        <x:v>4497</x:v>
      </x:c>
      <x:c r="Q182" s="14" t="n">
        <x:f>P182*(1-L182)</x:f>
        <x:v>3822.45</x:v>
      </x:c>
      <x:c r="R182" s="14" t="n">
        <x:f>Q182*(0.24+MOD(ROW(),7)*0.005)</x:f>
        <x:v>917.3879999999999</x:v>
      </x:c>
    </x:row>
    <x:row r="183">
      <x:c r="A183" s="12" t="n">
        <x:v>46111</x:v>
      </x:c>
      <x:c r="B183" t="str">
        <x:v>EC26-0182</x:v>
      </x:c>
      <x:c r="C183" t="str">
        <x:v>Karnataka</x:v>
      </x:c>
      <x:c r="D183" t="str">
        <x:v>Bengaluru</x:v>
      </x:c>
      <x:c r="E183" t="str">
        <x:v>Grocery</x:v>
      </x:c>
      <x:c r="F183" t="str">
        <x:v>Healthy Snacks</x:v>
      </x:c>
      <x:c r="G183" t="str">
        <x:v>Consumer</x:v>
      </x:c>
      <x:c r="H183" t="str">
        <x:v>Website</x:v>
      </x:c>
      <x:c r="I183" t="str">
        <x:v>Credit Card</x:v>
      </x:c>
      <x:c r="J183" t="n">
        <x:v>2</x:v>
      </x:c>
      <x:c r="K183" s="14" t="n">
        <x:v>599</x:v>
      </x:c>
      <x:c r="L183" s="16" t="n">
        <x:v>0.15</x:v>
      </x:c>
      <x:c r="M183" t="str">
        <x:v>Ishita</x:v>
      </x:c>
      <x:c r="N183" t="n">
        <x:v>2</x:v>
      </x:c>
      <x:c r="O183" s="18" t="n">
        <x:v>4.5</x:v>
      </x:c>
      <x:c r="P183" s="14" t="n">
        <x:f>J183*K183</x:f>
        <x:v>1198</x:v>
      </x:c>
      <x:c r="Q183" s="14" t="n">
        <x:f>P183*(1-L183)</x:f>
        <x:v>1018.3</x:v>
      </x:c>
      <x:c r="R183" s="14" t="n">
        <x:f>Q183*(0.24+MOD(ROW(),7)*0.005)</x:f>
        <x:v>249.4835</x:v>
      </x:c>
    </x:row>
    <x:row r="184">
      <x:c r="A184" s="12" t="n">
        <x:v>46225</x:v>
      </x:c>
      <x:c r="B184" t="str">
        <x:v>EC26-0183</x:v>
      </x:c>
      <x:c r="C184" t="str">
        <x:v>Rajasthan</x:v>
      </x:c>
      <x:c r="D184" t="str">
        <x:v>Jaipur</x:v>
      </x:c>
      <x:c r="E184" t="str">
        <x:v>Beauty</x:v>
      </x:c>
      <x:c r="F184" t="str">
        <x:v>Makeup Set</x:v>
      </x:c>
      <x:c r="G184" t="str">
        <x:v>Corporate</x:v>
      </x:c>
      <x:c r="H184" t="str">
        <x:v>Website</x:v>
      </x:c>
      <x:c r="I184" t="str">
        <x:v>Credit Card</x:v>
      </x:c>
      <x:c r="J184" t="n">
        <x:v>1</x:v>
      </x:c>
      <x:c r="K184" s="14" t="n">
        <x:v>1599</x:v>
      </x:c>
      <x:c r="L184" s="16" t="n">
        <x:v>0.02</x:v>
      </x:c>
      <x:c r="M184" t="str">
        <x:v>Meera</x:v>
      </x:c>
      <x:c r="N184" t="n">
        <x:v>6</x:v>
      </x:c>
      <x:c r="O184" s="18" t="n">
        <x:v>3.5</x:v>
      </x:c>
      <x:c r="P184" s="14" t="n">
        <x:f>J184*K184</x:f>
        <x:v>1599</x:v>
      </x:c>
      <x:c r="Q184" s="14" t="n">
        <x:f>P184*(1-L184)</x:f>
        <x:v>1567.02</x:v>
      </x:c>
      <x:c r="R184" s="14" t="n">
        <x:f>Q184*(0.24+MOD(ROW(),7)*0.005)</x:f>
        <x:v>391.755</x:v>
      </x:c>
    </x:row>
    <x:row r="185">
      <x:c r="A185" s="12" t="n">
        <x:v>46312</x:v>
      </x:c>
      <x:c r="B185" t="str">
        <x:v>EC26-0184</x:v>
      </x:c>
      <x:c r="C185" t="str">
        <x:v>Telangana</x:v>
      </x:c>
      <x:c r="D185" t="str">
        <x:v>Hyderabad</x:v>
      </x:c>
      <x:c r="E185" t="str">
        <x:v>Beauty</x:v>
      </x:c>
      <x:c r="F185" t="str">
        <x:v>Face Serum</x:v>
      </x:c>
      <x:c r="G185" t="str">
        <x:v>Small Business</x:v>
      </x:c>
      <x:c r="H185" t="str">
        <x:v>Website</x:v>
      </x:c>
      <x:c r="I185" t="str">
        <x:v>Wallet</x:v>
      </x:c>
      <x:c r="J185" t="n">
        <x:v>1</x:v>
      </x:c>
      <x:c r="K185" s="14" t="n">
        <x:v>799</x:v>
      </x:c>
      <x:c r="L185" s="16" t="n">
        <x:v>0</x:v>
      </x:c>
      <x:c r="M185" t="str">
        <x:v>Simran</x:v>
      </x:c>
      <x:c r="N185" t="n">
        <x:v>2</x:v>
      </x:c>
      <x:c r="O185" s="18" t="n">
        <x:v>4</x:v>
      </x:c>
      <x:c r="P185" s="14" t="n">
        <x:f>J185*K185</x:f>
        <x:v>799</x:v>
      </x:c>
      <x:c r="Q185" s="14" t="n">
        <x:f>P185*(1-L185)</x:f>
        <x:v>799</x:v>
      </x:c>
      <x:c r="R185" s="14" t="n">
        <x:f>Q185*(0.24+MOD(ROW(),7)*0.005)</x:f>
        <x:v>203.745</x:v>
      </x:c>
    </x:row>
    <x:row r="186">
      <x:c r="A186" s="12" t="n">
        <x:v>46274</x:v>
      </x:c>
      <x:c r="B186" t="str">
        <x:v>EC26-0185</x:v>
      </x:c>
      <x:c r="C186" t="str">
        <x:v>Telangana</x:v>
      </x:c>
      <x:c r="D186" t="str">
        <x:v>Hyderabad</x:v>
      </x:c>
      <x:c r="E186" t="str">
        <x:v>Fashion</x:v>
      </x:c>
      <x:c r="F186" t="str">
        <x:v>Denim Jacket</x:v>
      </x:c>
      <x:c r="G186" t="str">
        <x:v>Corporate</x:v>
      </x:c>
      <x:c r="H186" t="str">
        <x:v>Marketplace</x:v>
      </x:c>
      <x:c r="I186" t="str">
        <x:v>Wallet</x:v>
      </x:c>
      <x:c r="J186" t="n">
        <x:v>1</x:v>
      </x:c>
      <x:c r="K186" s="14" t="n">
        <x:v>2999</x:v>
      </x:c>
      <x:c r="L186" s="16" t="n">
        <x:v>0.05</x:v>
      </x:c>
      <x:c r="M186" t="str">
        <x:v>Meera</x:v>
      </x:c>
      <x:c r="N186" t="n">
        <x:v>3</x:v>
      </x:c>
      <x:c r="O186" s="18" t="n">
        <x:v>4.5</x:v>
      </x:c>
      <x:c r="P186" s="14" t="n">
        <x:f>J186*K186</x:f>
        <x:v>2999</x:v>
      </x:c>
      <x:c r="Q186" s="14" t="n">
        <x:f>P186*(1-L186)</x:f>
        <x:v>2849.0499999999997</x:v>
      </x:c>
      <x:c r="R186" s="14" t="n">
        <x:f>Q186*(0.24+MOD(ROW(),7)*0.005)</x:f>
        <x:v>740.7529999999999</x:v>
      </x:c>
    </x:row>
    <x:row r="187">
      <x:c r="A187" s="12" t="n">
        <x:v>46229</x:v>
      </x:c>
      <x:c r="B187" t="str">
        <x:v>EC26-0186</x:v>
      </x:c>
      <x:c r="C187" t="str">
        <x:v>Tamil Nadu</x:v>
      </x:c>
      <x:c r="D187" t="str">
        <x:v>Chennai</x:v>
      </x:c>
      <x:c r="E187" t="str">
        <x:v>Home</x:v>
      </x:c>
      <x:c r="F187" t="str">
        <x:v>LED Lamp</x:v>
      </x:c>
      <x:c r="G187" t="str">
        <x:v>Consumer</x:v>
      </x:c>
      <x:c r="H187" t="str">
        <x:v>Marketplace</x:v>
      </x:c>
      <x:c r="I187" t="str">
        <x:v>COD</x:v>
      </x:c>
      <x:c r="J187" t="n">
        <x:v>1</x:v>
      </x:c>
      <x:c r="K187" s="14" t="n">
        <x:v>899</x:v>
      </x:c>
      <x:c r="L187" s="16" t="n">
        <x:v>0.15</x:v>
      </x:c>
      <x:c r="M187" t="str">
        <x:v>Rohan</x:v>
      </x:c>
      <x:c r="N187" t="n">
        <x:v>3</x:v>
      </x:c>
      <x:c r="O187" s="18" t="n">
        <x:v>5</x:v>
      </x:c>
      <x:c r="P187" s="14" t="n">
        <x:f>J187*K187</x:f>
        <x:v>899</x:v>
      </x:c>
      <x:c r="Q187" s="14" t="n">
        <x:f>P187*(1-L187)</x:f>
        <x:v>764.15</x:v>
      </x:c>
      <x:c r="R187" s="14" t="n">
        <x:f>Q187*(0.24+MOD(ROW(),7)*0.005)</x:f>
        <x:v>202.49975</x:v>
      </x:c>
    </x:row>
    <x:row r="188">
      <x:c r="A188" s="12" t="n">
        <x:v>46059</x:v>
      </x:c>
      <x:c r="B188" t="str">
        <x:v>EC26-0187</x:v>
      </x:c>
      <x:c r="C188" t="str">
        <x:v>Karnataka</x:v>
      </x:c>
      <x:c r="D188" t="str">
        <x:v>Bengaluru</x:v>
      </x:c>
      <x:c r="E188" t="str">
        <x:v>Home</x:v>
      </x:c>
      <x:c r="F188" t="str">
        <x:v>LED Lamp</x:v>
      </x:c>
      <x:c r="G188" t="str">
        <x:v>Corporate</x:v>
      </x:c>
      <x:c r="H188" t="str">
        <x:v>Mobile App</x:v>
      </x:c>
      <x:c r="I188" t="str">
        <x:v>UPI</x:v>
      </x:c>
      <x:c r="J188" t="n">
        <x:v>2</x:v>
      </x:c>
      <x:c r="K188" s="14" t="n">
        <x:v>899</x:v>
      </x:c>
      <x:c r="L188" s="16" t="n">
        <x:v>0.15</x:v>
      </x:c>
      <x:c r="M188" t="str">
        <x:v>Vihaan</x:v>
      </x:c>
      <x:c r="N188" t="n">
        <x:v>6</x:v>
      </x:c>
      <x:c r="O188" s="18" t="n">
        <x:v>5</x:v>
      </x:c>
      <x:c r="P188" s="14" t="n">
        <x:f>J188*K188</x:f>
        <x:v>1798</x:v>
      </x:c>
      <x:c r="Q188" s="14" t="n">
        <x:f>P188*(1-L188)</x:f>
        <x:v>1528.3</x:v>
      </x:c>
      <x:c r="R188" s="14" t="n">
        <x:f>Q188*(0.24+MOD(ROW(),7)*0.005)</x:f>
        <x:v>412.641</x:v>
      </x:c>
    </x:row>
    <x:row r="189">
      <x:c r="A189" s="12" t="n">
        <x:v>46295</x:v>
      </x:c>
      <x:c r="B189" t="str">
        <x:v>EC26-0188</x:v>
      </x:c>
      <x:c r="C189" t="str">
        <x:v>Telangana</x:v>
      </x:c>
      <x:c r="D189" t="str">
        <x:v>Hyderabad</x:v>
      </x:c>
      <x:c r="E189" t="str">
        <x:v>Home</x:v>
      </x:c>
      <x:c r="F189" t="str">
        <x:v>Air Fryer</x:v>
      </x:c>
      <x:c r="G189" t="str">
        <x:v>Corporate</x:v>
      </x:c>
      <x:c r="H189" t="str">
        <x:v>Marketplace</x:v>
      </x:c>
      <x:c r="I189" t="str">
        <x:v>Wallet</x:v>
      </x:c>
      <x:c r="J189" t="n">
        <x:v>1</x:v>
      </x:c>
      <x:c r="K189" s="14" t="n">
        <x:v>5999</x:v>
      </x:c>
      <x:c r="L189" s="16" t="n">
        <x:v>0.12</x:v>
      </x:c>
      <x:c r="M189" t="str">
        <x:v>Simran</x:v>
      </x:c>
      <x:c r="N189" t="n">
        <x:v>2</x:v>
      </x:c>
      <x:c r="O189" s="18" t="n">
        <x:v>4</x:v>
      </x:c>
      <x:c r="P189" s="14" t="n">
        <x:f>J189*K189</x:f>
        <x:v>5999</x:v>
      </x:c>
      <x:c r="Q189" s="14" t="n">
        <x:f>P189*(1-L189)</x:f>
        <x:v>5279.12</x:v>
      </x:c>
      <x:c r="R189" s="14" t="n">
        <x:f>Q189*(0.24+MOD(ROW(),7)*0.005)</x:f>
        <x:v>1266.9887999999999</x:v>
      </x:c>
    </x:row>
    <x:row r="190">
      <x:c r="A190" s="12" t="n">
        <x:v>46082</x:v>
      </x:c>
      <x:c r="B190" t="str">
        <x:v>EC26-0189</x:v>
      </x:c>
      <x:c r="C190" t="str">
        <x:v>Maharashtra</x:v>
      </x:c>
      <x:c r="D190" t="str">
        <x:v>Mumbai</x:v>
      </x:c>
      <x:c r="E190" t="str">
        <x:v>Electronics</x:v>
      </x:c>
      <x:c r="F190" t="str">
        <x:v>Smartwatch</x:v>
      </x:c>
      <x:c r="G190" t="str">
        <x:v>Corporate</x:v>
      </x:c>
      <x:c r="H190" t="str">
        <x:v>Mobile App</x:v>
      </x:c>
      <x:c r="I190" t="str">
        <x:v>UPI</x:v>
      </x:c>
      <x:c r="J190" t="n">
        <x:v>3</x:v>
      </x:c>
      <x:c r="K190" s="14" t="n">
        <x:v>3999</x:v>
      </x:c>
      <x:c r="L190" s="16" t="n">
        <x:v>0</x:v>
      </x:c>
      <x:c r="M190" t="str">
        <x:v>Rohan</x:v>
      </x:c>
      <x:c r="N190" t="n">
        <x:v>4</x:v>
      </x:c>
      <x:c r="O190" s="18" t="n">
        <x:v>3</x:v>
      </x:c>
      <x:c r="P190" s="14" t="n">
        <x:f>J190*K190</x:f>
        <x:v>11997</x:v>
      </x:c>
      <x:c r="Q190" s="14" t="n">
        <x:f>P190*(1-L190)</x:f>
        <x:v>11997</x:v>
      </x:c>
      <x:c r="R190" s="14" t="n">
        <x:f>Q190*(0.24+MOD(ROW(),7)*0.005)</x:f>
        <x:v>2939.265</x:v>
      </x:c>
    </x:row>
    <x:row r="191">
      <x:c r="A191" s="12" t="n">
        <x:v>46387</x:v>
      </x:c>
      <x:c r="B191" t="str">
        <x:v>EC26-0190</x:v>
      </x:c>
      <x:c r="C191" t="str">
        <x:v>Tamil Nadu</x:v>
      </x:c>
      <x:c r="D191" t="str">
        <x:v>Chennai</x:v>
      </x:c>
      <x:c r="E191" t="str">
        <x:v>Beauty</x:v>
      </x:c>
      <x:c r="F191" t="str">
        <x:v>Makeup Set</x:v>
      </x:c>
      <x:c r="G191" t="str">
        <x:v>Small Business</x:v>
      </x:c>
      <x:c r="H191" t="str">
        <x:v>Mobile App</x:v>
      </x:c>
      <x:c r="I191" t="str">
        <x:v>Wallet</x:v>
      </x:c>
      <x:c r="J191" t="n">
        <x:v>2</x:v>
      </x:c>
      <x:c r="K191" s="14" t="n">
        <x:v>1599</x:v>
      </x:c>
      <x:c r="L191" s="16" t="n">
        <x:v>0</x:v>
      </x:c>
      <x:c r="M191" t="str">
        <x:v>Vihaan</x:v>
      </x:c>
      <x:c r="N191" t="n">
        <x:v>1</x:v>
      </x:c>
      <x:c r="O191" s="18" t="n">
        <x:v>5</x:v>
      </x:c>
      <x:c r="P191" s="14" t="n">
        <x:f>J191*K191</x:f>
        <x:v>3198</x:v>
      </x:c>
      <x:c r="Q191" s="14" t="n">
        <x:f>P191*(1-L191)</x:f>
        <x:v>3198</x:v>
      </x:c>
      <x:c r="R191" s="14" t="n">
        <x:f>Q191*(0.24+MOD(ROW(),7)*0.005)</x:f>
        <x:v>799.5</x:v>
      </x:c>
    </x:row>
    <x:row r="192">
      <x:c r="A192" s="12" t="n">
        <x:v>46059</x:v>
      </x:c>
      <x:c r="B192" t="str">
        <x:v>EC26-0191</x:v>
      </x:c>
      <x:c r="C192" t="str">
        <x:v>Maharashtra</x:v>
      </x:c>
      <x:c r="D192" t="str">
        <x:v>Mumbai</x:v>
      </x:c>
      <x:c r="E192" t="str">
        <x:v>Electronics</x:v>
      </x:c>
      <x:c r="F192" t="str">
        <x:v>USB-C Hub</x:v>
      </x:c>
      <x:c r="G192" t="str">
        <x:v>Corporate</x:v>
      </x:c>
      <x:c r="H192" t="str">
        <x:v>Marketplace</x:v>
      </x:c>
      <x:c r="I192" t="str">
        <x:v>Debit Card</x:v>
      </x:c>
      <x:c r="J192" t="n">
        <x:v>2</x:v>
      </x:c>
      <x:c r="K192" s="14" t="n">
        <x:v>1999</x:v>
      </x:c>
      <x:c r="L192" s="16" t="n">
        <x:v>0.15</x:v>
      </x:c>
      <x:c r="M192" t="str">
        <x:v>Rohan</x:v>
      </x:c>
      <x:c r="N192" t="n">
        <x:v>3</x:v>
      </x:c>
      <x:c r="O192" s="18" t="n">
        <x:v>3.5</x:v>
      </x:c>
      <x:c r="P192" s="14" t="n">
        <x:f>J192*K192</x:f>
        <x:v>3998</x:v>
      </x:c>
      <x:c r="Q192" s="14" t="n">
        <x:f>P192*(1-L192)</x:f>
        <x:v>3398.2999999999997</x:v>
      </x:c>
      <x:c r="R192" s="14" t="n">
        <x:f>Q192*(0.24+MOD(ROW(),7)*0.005)</x:f>
        <x:v>866.5664999999999</x:v>
      </x:c>
    </x:row>
    <x:row r="193">
      <x:c r="A193" s="12" t="n">
        <x:v>46075</x:v>
      </x:c>
      <x:c r="B193" t="str">
        <x:v>EC26-0192</x:v>
      </x:c>
      <x:c r="C193" t="str">
        <x:v>Uttar Pradesh</x:v>
      </x:c>
      <x:c r="D193" t="str">
        <x:v>Lucknow</x:v>
      </x:c>
      <x:c r="E193" t="str">
        <x:v>Beauty</x:v>
      </x:c>
      <x:c r="F193" t="str">
        <x:v>Skincare Kit</x:v>
      </x:c>
      <x:c r="G193" t="str">
        <x:v>Small Business</x:v>
      </x:c>
      <x:c r="H193" t="str">
        <x:v>Marketplace</x:v>
      </x:c>
      <x:c r="I193" t="str">
        <x:v>Credit Card</x:v>
      </x:c>
      <x:c r="J193" t="n">
        <x:v>3</x:v>
      </x:c>
      <x:c r="K193" s="14" t="n">
        <x:v>1299</x:v>
      </x:c>
      <x:c r="L193" s="16" t="n">
        <x:v>0.02</x:v>
      </x:c>
      <x:c r="M193" t="str">
        <x:v>Ishita</x:v>
      </x:c>
      <x:c r="N193" t="n">
        <x:v>1</x:v>
      </x:c>
      <x:c r="O193" s="18" t="n">
        <x:v>4</x:v>
      </x:c>
      <x:c r="P193" s="14" t="n">
        <x:f>J193*K193</x:f>
        <x:v>3897</x:v>
      </x:c>
      <x:c r="Q193" s="14" t="n">
        <x:f>P193*(1-L193)</x:f>
        <x:v>3819.06</x:v>
      </x:c>
      <x:c r="R193" s="14" t="n">
        <x:f>Q193*(0.24+MOD(ROW(),7)*0.005)</x:f>
        <x:v>992.9556</x:v>
      </x:c>
    </x:row>
    <x:row r="194">
      <x:c r="A194" s="12" t="n">
        <x:v>46171</x:v>
      </x:c>
      <x:c r="B194" t="str">
        <x:v>EC26-0193</x:v>
      </x:c>
      <x:c r="C194" t="str">
        <x:v>Kerala</x:v>
      </x:c>
      <x:c r="D194" t="str">
        <x:v>Kochi</x:v>
      </x:c>
      <x:c r="E194" t="str">
        <x:v>Electronics</x:v>
      </x:c>
      <x:c r="F194" t="str">
        <x:v>USB-C Hub</x:v>
      </x:c>
      <x:c r="G194" t="str">
        <x:v>Small Business</x:v>
      </x:c>
      <x:c r="H194" t="str">
        <x:v>Website</x:v>
      </x:c>
      <x:c r="I194" t="str">
        <x:v>Wallet</x:v>
      </x:c>
      <x:c r="J194" t="n">
        <x:v>3</x:v>
      </x:c>
      <x:c r="K194" s="14" t="n">
        <x:v>1999</x:v>
      </x:c>
      <x:c r="L194" s="16" t="n">
        <x:v>0.02</x:v>
      </x:c>
      <x:c r="M194" t="str">
        <x:v>Aarav</x:v>
      </x:c>
      <x:c r="N194" t="n">
        <x:v>3</x:v>
      </x:c>
      <x:c r="O194" s="18" t="n">
        <x:v>4.5</x:v>
      </x:c>
      <x:c r="P194" s="14" t="n">
        <x:f>J194*K194</x:f>
        <x:v>5997</x:v>
      </x:c>
      <x:c r="Q194" s="14" t="n">
        <x:f>P194*(1-L194)</x:f>
        <x:v>5877.0599999999995</x:v>
      </x:c>
      <x:c r="R194" s="14" t="n">
        <x:f>Q194*(0.24+MOD(ROW(),7)*0.005)</x:f>
        <x:v>1557.4208999999998</x:v>
      </x:c>
    </x:row>
    <x:row r="195">
      <x:c r="A195" s="12" t="n">
        <x:v>46150</x:v>
      </x:c>
      <x:c r="B195" t="str">
        <x:v>EC26-0194</x:v>
      </x:c>
      <x:c r="C195" t="str">
        <x:v>Karnataka</x:v>
      </x:c>
      <x:c r="D195" t="str">
        <x:v>Bengaluru</x:v>
      </x:c>
      <x:c r="E195" t="str">
        <x:v>Home</x:v>
      </x:c>
      <x:c r="F195" t="str">
        <x:v>Bedsheet Set</x:v>
      </x:c>
      <x:c r="G195" t="str">
        <x:v>Consumer</x:v>
      </x:c>
      <x:c r="H195" t="str">
        <x:v>Website</x:v>
      </x:c>
      <x:c r="I195" t="str">
        <x:v>COD</x:v>
      </x:c>
      <x:c r="J195" t="n">
        <x:v>1</x:v>
      </x:c>
      <x:c r="K195" s="14" t="n">
        <x:v>1499</x:v>
      </x:c>
      <x:c r="L195" s="16" t="n">
        <x:v>0.12</x:v>
      </x:c>
      <x:c r="M195" t="str">
        <x:v>Anaya</x:v>
      </x:c>
      <x:c r="N195" t="n">
        <x:v>4</x:v>
      </x:c>
      <x:c r="O195" s="18" t="n">
        <x:v>5</x:v>
      </x:c>
      <x:c r="P195" s="14" t="n">
        <x:f>J195*K195</x:f>
        <x:v>1499</x:v>
      </x:c>
      <x:c r="Q195" s="14" t="n">
        <x:f>P195*(1-L195)</x:f>
        <x:v>1319.1200000000001</x:v>
      </x:c>
      <x:c r="R195" s="14" t="n">
        <x:f>Q195*(0.24+MOD(ROW(),7)*0.005)</x:f>
        <x:v>356.16240000000005</x:v>
      </x:c>
    </x:row>
    <x:row r="196">
      <x:c r="A196" s="12" t="n">
        <x:v>46072</x:v>
      </x:c>
      <x:c r="B196" t="str">
        <x:v>EC26-0195</x:v>
      </x:c>
      <x:c r="C196" t="str">
        <x:v>Gujarat</x:v>
      </x:c>
      <x:c r="D196" t="str">
        <x:v>Ahmedabad</x:v>
      </x:c>
      <x:c r="E196" t="str">
        <x:v>Grocery</x:v>
      </x:c>
      <x:c r="F196" t="str">
        <x:v>Green Tea</x:v>
      </x:c>
      <x:c r="G196" t="str">
        <x:v>Consumer</x:v>
      </x:c>
      <x:c r="H196" t="str">
        <x:v>Mobile App</x:v>
      </x:c>
      <x:c r="I196" t="str">
        <x:v>COD</x:v>
      </x:c>
      <x:c r="J196" t="n">
        <x:v>3</x:v>
      </x:c>
      <x:c r="K196" s="14" t="n">
        <x:v>499</x:v>
      </x:c>
      <x:c r="L196" s="16" t="n">
        <x:v>0.05</x:v>
      </x:c>
      <x:c r="M196" t="str">
        <x:v>Rohan</x:v>
      </x:c>
      <x:c r="N196" t="n">
        <x:v>3</x:v>
      </x:c>
      <x:c r="O196" s="18" t="n">
        <x:v>4.5</x:v>
      </x:c>
      <x:c r="P196" s="14" t="n">
        <x:f>J196*K196</x:f>
        <x:v>1497</x:v>
      </x:c>
      <x:c r="Q196" s="14" t="n">
        <x:f>P196*(1-L196)</x:f>
        <x:v>1422.1499999999999</x:v>
      </x:c>
      <x:c r="R196" s="14" t="n">
        <x:f>Q196*(0.24+MOD(ROW(),7)*0.005)</x:f>
        <x:v>341.316</x:v>
      </x:c>
    </x:row>
    <x:row r="197">
      <x:c r="A197" s="12" t="n">
        <x:v>46028</x:v>
      </x:c>
      <x:c r="B197" t="str">
        <x:v>EC26-0196</x:v>
      </x:c>
      <x:c r="C197" t="str">
        <x:v>Uttar Pradesh</x:v>
      </x:c>
      <x:c r="D197" t="str">
        <x:v>Lucknow</x:v>
      </x:c>
      <x:c r="E197" t="str">
        <x:v>Grocery</x:v>
      </x:c>
      <x:c r="F197" t="str">
        <x:v>Green Tea</x:v>
      </x:c>
      <x:c r="G197" t="str">
        <x:v>Consumer</x:v>
      </x:c>
      <x:c r="H197" t="str">
        <x:v>Marketplace</x:v>
      </x:c>
      <x:c r="I197" t="str">
        <x:v>COD</x:v>
      </x:c>
      <x:c r="J197" t="n">
        <x:v>5</x:v>
      </x:c>
      <x:c r="K197" s="14" t="n">
        <x:v>499</x:v>
      </x:c>
      <x:c r="L197" s="16" t="n">
        <x:v>0.1</x:v>
      </x:c>
      <x:c r="M197" t="str">
        <x:v>Simran</x:v>
      </x:c>
      <x:c r="N197" t="n">
        <x:v>3</x:v>
      </x:c>
      <x:c r="O197" s="18" t="n">
        <x:v>5</x:v>
      </x:c>
      <x:c r="P197" s="14" t="n">
        <x:f>J197*K197</x:f>
        <x:v>2495</x:v>
      </x:c>
      <x:c r="Q197" s="14" t="n">
        <x:f>P197*(1-L197)</x:f>
        <x:v>2245.5</x:v>
      </x:c>
      <x:c r="R197" s="14" t="n">
        <x:f>Q197*(0.24+MOD(ROW(),7)*0.005)</x:f>
        <x:v>550.1475</x:v>
      </x:c>
    </x:row>
    <x:row r="198">
      <x:c r="A198" s="12" t="n">
        <x:v>46246</x:v>
      </x:c>
      <x:c r="B198" t="str">
        <x:v>EC26-0197</x:v>
      </x:c>
      <x:c r="C198" t="str">
        <x:v>Punjab</x:v>
      </x:c>
      <x:c r="D198" t="str">
        <x:v>Ludhiana</x:v>
      </x:c>
      <x:c r="E198" t="str">
        <x:v>Fashion</x:v>
      </x:c>
      <x:c r="F198" t="str">
        <x:v>Denim Jacket</x:v>
      </x:c>
      <x:c r="G198" t="str">
        <x:v>Corporate</x:v>
      </x:c>
      <x:c r="H198" t="str">
        <x:v>Mobile App</x:v>
      </x:c>
      <x:c r="I198" t="str">
        <x:v>UPI</x:v>
      </x:c>
      <x:c r="J198" t="n">
        <x:v>1</x:v>
      </x:c>
      <x:c r="K198" s="14" t="n">
        <x:v>2999</x:v>
      </x:c>
      <x:c r="L198" s="16" t="n">
        <x:v>0.05</x:v>
      </x:c>
      <x:c r="M198" t="str">
        <x:v>Vihaan</x:v>
      </x:c>
      <x:c r="N198" t="n">
        <x:v>4</x:v>
      </x:c>
      <x:c r="O198" s="18" t="n">
        <x:v>4</x:v>
      </x:c>
      <x:c r="P198" s="14" t="n">
        <x:f>J198*K198</x:f>
        <x:v>2999</x:v>
      </x:c>
      <x:c r="Q198" s="14" t="n">
        <x:f>P198*(1-L198)</x:f>
        <x:v>2849.0499999999997</x:v>
      </x:c>
      <x:c r="R198" s="14" t="n">
        <x:f>Q198*(0.24+MOD(ROW(),7)*0.005)</x:f>
        <x:v>712.2624999999999</x:v>
      </x:c>
    </x:row>
    <x:row r="199">
      <x:c r="A199" s="12" t="n">
        <x:v>46353</x:v>
      </x:c>
      <x:c r="B199" t="str">
        <x:v>EC26-0198</x:v>
      </x:c>
      <x:c r="C199" t="str">
        <x:v>Uttar Pradesh</x:v>
      </x:c>
      <x:c r="D199" t="str">
        <x:v>Lucknow</x:v>
      </x:c>
      <x:c r="E199" t="str">
        <x:v>Beauty</x:v>
      </x:c>
      <x:c r="F199" t="str">
        <x:v>Face Serum</x:v>
      </x:c>
      <x:c r="G199" t="str">
        <x:v>Corporate</x:v>
      </x:c>
      <x:c r="H199" t="str">
        <x:v>Website</x:v>
      </x:c>
      <x:c r="I199" t="str">
        <x:v>COD</x:v>
      </x:c>
      <x:c r="J199" t="n">
        <x:v>1</x:v>
      </x:c>
      <x:c r="K199" s="14" t="n">
        <x:v>799</x:v>
      </x:c>
      <x:c r="L199" s="16" t="n">
        <x:v>0.07</x:v>
      </x:c>
      <x:c r="M199" t="str">
        <x:v>Rohan</x:v>
      </x:c>
      <x:c r="N199" t="n">
        <x:v>2</x:v>
      </x:c>
      <x:c r="O199" s="18" t="n">
        <x:v>4.5</x:v>
      </x:c>
      <x:c r="P199" s="14" t="n">
        <x:f>J199*K199</x:f>
        <x:v>799</x:v>
      </x:c>
      <x:c r="Q199" s="14" t="n">
        <x:f>P199*(1-L199)</x:f>
        <x:v>743.0699999999999</x:v>
      </x:c>
      <x:c r="R199" s="14" t="n">
        <x:f>Q199*(0.24+MOD(ROW(),7)*0.005)</x:f>
        <x:v>189.48284999999998</x:v>
      </x:c>
    </x:row>
    <x:row r="200">
      <x:c r="A200" s="12" t="n">
        <x:v>46353</x:v>
      </x:c>
      <x:c r="B200" t="str">
        <x:v>EC26-0199</x:v>
      </x:c>
      <x:c r="C200" t="str">
        <x:v>Kerala</x:v>
      </x:c>
      <x:c r="D200" t="str">
        <x:v>Kochi</x:v>
      </x:c>
      <x:c r="E200" t="str">
        <x:v>Grocery</x:v>
      </x:c>
      <x:c r="F200" t="str">
        <x:v>Dry Fruits Pack</x:v>
      </x:c>
      <x:c r="G200" t="str">
        <x:v>Consumer</x:v>
      </x:c>
      <x:c r="H200" t="str">
        <x:v>Website</x:v>
      </x:c>
      <x:c r="I200" t="str">
        <x:v>UPI</x:v>
      </x:c>
      <x:c r="J200" t="n">
        <x:v>2</x:v>
      </x:c>
      <x:c r="K200" s="14" t="n">
        <x:v>999</x:v>
      </x:c>
      <x:c r="L200" s="16" t="n">
        <x:v>0.12</x:v>
      </x:c>
      <x:c r="M200" t="str">
        <x:v>Anaya</x:v>
      </x:c>
      <x:c r="N200" t="n">
        <x:v>4</x:v>
      </x:c>
      <x:c r="O200" s="18" t="n">
        <x:v>5</x:v>
      </x:c>
      <x:c r="P200" s="14" t="n">
        <x:f>J200*K200</x:f>
        <x:v>1998</x:v>
      </x:c>
      <x:c r="Q200" s="14" t="n">
        <x:f>P200*(1-L200)</x:f>
        <x:v>1758.24</x:v>
      </x:c>
      <x:c r="R200" s="14" t="n">
        <x:f>Q200*(0.24+MOD(ROW(),7)*0.005)</x:f>
        <x:v>457.1424</x:v>
      </x:c>
    </x:row>
    <x:row r="201">
      <x:c r="A201" s="12" t="n">
        <x:v>46162</x:v>
      </x:c>
      <x:c r="B201" t="str">
        <x:v>EC26-0200</x:v>
      </x:c>
      <x:c r="C201" t="str">
        <x:v>Tamil Nadu</x:v>
      </x:c>
      <x:c r="D201" t="str">
        <x:v>Chennai</x:v>
      </x:c>
      <x:c r="E201" t="str">
        <x:v>Electronics</x:v>
      </x:c>
      <x:c r="F201" t="str">
        <x:v>Power Bank</x:v>
      </x:c>
      <x:c r="G201" t="str">
        <x:v>Corporate</x:v>
      </x:c>
      <x:c r="H201" t="str">
        <x:v>Mobile App</x:v>
      </x:c>
      <x:c r="I201" t="str">
        <x:v>Credit Card</x:v>
      </x:c>
      <x:c r="J201" t="n">
        <x:v>1</x:v>
      </x:c>
      <x:c r="K201" s="14" t="n">
        <x:v>1499</x:v>
      </x:c>
      <x:c r="L201" s="16" t="n">
        <x:v>0.07</x:v>
      </x:c>
      <x:c r="M201" t="str">
        <x:v>Vihaan</x:v>
      </x:c>
      <x:c r="N201" t="n">
        <x:v>4</x:v>
      </x:c>
      <x:c r="O201" s="18" t="n">
        <x:v>3.5</x:v>
      </x:c>
      <x:c r="P201" s="14" t="n">
        <x:f>J201*K201</x:f>
        <x:v>1499</x:v>
      </x:c>
      <x:c r="Q201" s="14" t="n">
        <x:f>P201*(1-L201)</x:f>
        <x:v>1394.07</x:v>
      </x:c>
      <x:c r="R201" s="14" t="n">
        <x:f>Q201*(0.24+MOD(ROW(),7)*0.005)</x:f>
        <x:v>369.42855000000003</x:v>
      </x:c>
    </x:row>
    <x:row r="202">
      <x:c r="A202" s="12" t="n">
        <x:v>46028</x:v>
      </x:c>
      <x:c r="B202" t="str">
        <x:v>EC26-0201</x:v>
      </x:c>
      <x:c r="C202" t="str">
        <x:v>Telangana</x:v>
      </x:c>
      <x:c r="D202" t="str">
        <x:v>Hyderabad</x:v>
      </x:c>
      <x:c r="E202" t="str">
        <x:v>Home</x:v>
      </x:c>
      <x:c r="F202" t="str">
        <x:v>Air Fryer</x:v>
      </x:c>
      <x:c r="G202" t="str">
        <x:v>Consumer</x:v>
      </x:c>
      <x:c r="H202" t="str">
        <x:v>Website</x:v>
      </x:c>
      <x:c r="I202" t="str">
        <x:v>Debit Card</x:v>
      </x:c>
      <x:c r="J202" t="n">
        <x:v>2</x:v>
      </x:c>
      <x:c r="K202" s="14" t="n">
        <x:v>5999</x:v>
      </x:c>
      <x:c r="L202" s="16" t="n">
        <x:v>0.15</x:v>
      </x:c>
      <x:c r="M202" t="str">
        <x:v>Aarav</x:v>
      </x:c>
      <x:c r="N202" t="n">
        <x:v>6</x:v>
      </x:c>
      <x:c r="O202" s="18" t="n">
        <x:v>5</x:v>
      </x:c>
      <x:c r="P202" s="14" t="n">
        <x:f>J202*K202</x:f>
        <x:v>11998</x:v>
      </x:c>
      <x:c r="Q202" s="14" t="n">
        <x:f>P202*(1-L202)</x:f>
        <x:v>10198.3</x:v>
      </x:c>
      <x:c r="R202" s="14" t="n">
        <x:f>Q202*(0.24+MOD(ROW(),7)*0.005)</x:f>
        <x:v>2753.541</x:v>
      </x:c>
    </x:row>
    <x:row r="203">
      <x:c r="A203" s="12" t="n">
        <x:v>46337</x:v>
      </x:c>
      <x:c r="B203" t="str">
        <x:v>EC26-0202</x:v>
      </x:c>
      <x:c r="C203" t="str">
        <x:v>Madhya Pradesh</x:v>
      </x:c>
      <x:c r="D203" t="str">
        <x:v>Indore</x:v>
      </x:c>
      <x:c r="E203" t="str">
        <x:v>Home</x:v>
      </x:c>
      <x:c r="F203" t="str">
        <x:v>Coffee Maker</x:v>
      </x:c>
      <x:c r="G203" t="str">
        <x:v>Corporate</x:v>
      </x:c>
      <x:c r="H203" t="str">
        <x:v>Website</x:v>
      </x:c>
      <x:c r="I203" t="str">
        <x:v>Wallet</x:v>
      </x:c>
      <x:c r="J203" t="n">
        <x:v>4</x:v>
      </x:c>
      <x:c r="K203" s="14" t="n">
        <x:v>4499</x:v>
      </x:c>
      <x:c r="L203" s="16" t="n">
        <x:v>0</x:v>
      </x:c>
      <x:c r="M203" t="str">
        <x:v>Simran</x:v>
      </x:c>
      <x:c r="N203" t="n">
        <x:v>6</x:v>
      </x:c>
      <x:c r="O203" s="18" t="n">
        <x:v>5</x:v>
      </x:c>
      <x:c r="P203" s="14" t="n">
        <x:f>J203*K203</x:f>
        <x:v>17996</x:v>
      </x:c>
      <x:c r="Q203" s="14" t="n">
        <x:f>P203*(1-L203)</x:f>
        <x:v>17996</x:v>
      </x:c>
      <x:c r="R203" s="14" t="n">
        <x:f>Q203*(0.24+MOD(ROW(),7)*0.005)</x:f>
        <x:v>4319.04</x:v>
      </x:c>
    </x:row>
    <x:row r="204">
      <x:c r="A204" s="12" t="n">
        <x:v>46079</x:v>
      </x:c>
      <x:c r="B204" t="str">
        <x:v>EC26-0203</x:v>
      </x:c>
      <x:c r="C204" t="str">
        <x:v>Rajasthan</x:v>
      </x:c>
      <x:c r="D204" t="str">
        <x:v>Jaipur</x:v>
      </x:c>
      <x:c r="E204" t="str">
        <x:v>Electronics</x:v>
      </x:c>
      <x:c r="F204" t="str">
        <x:v>Power Bank</x:v>
      </x:c>
      <x:c r="G204" t="str">
        <x:v>Corporate</x:v>
      </x:c>
      <x:c r="H204" t="str">
        <x:v>Mobile App</x:v>
      </x:c>
      <x:c r="I204" t="str">
        <x:v>Wallet</x:v>
      </x:c>
      <x:c r="J204" t="n">
        <x:v>4</x:v>
      </x:c>
      <x:c r="K204" s="14" t="n">
        <x:v>1499</x:v>
      </x:c>
      <x:c r="L204" s="16" t="n">
        <x:v>0.05</x:v>
      </x:c>
      <x:c r="M204" t="str">
        <x:v>Ishita</x:v>
      </x:c>
      <x:c r="N204" t="n">
        <x:v>6</x:v>
      </x:c>
      <x:c r="O204" s="18" t="n">
        <x:v>4</x:v>
      </x:c>
      <x:c r="P204" s="14" t="n">
        <x:f>J204*K204</x:f>
        <x:v>5996</x:v>
      </x:c>
      <x:c r="Q204" s="14" t="n">
        <x:f>P204*(1-L204)</x:f>
        <x:v>5696.2</x:v>
      </x:c>
      <x:c r="R204" s="14" t="n">
        <x:f>Q204*(0.24+MOD(ROW(),7)*0.005)</x:f>
        <x:v>1395.569</x:v>
      </x:c>
    </x:row>
    <x:row r="205">
      <x:c r="A205" s="12" t="n">
        <x:v>46376</x:v>
      </x:c>
      <x:c r="B205" t="str">
        <x:v>EC26-0204</x:v>
      </x:c>
      <x:c r="C205" t="str">
        <x:v>Telangana</x:v>
      </x:c>
      <x:c r="D205" t="str">
        <x:v>Hyderabad</x:v>
      </x:c>
      <x:c r="E205" t="str">
        <x:v>Beauty</x:v>
      </x:c>
      <x:c r="F205" t="str">
        <x:v>Perfume</x:v>
      </x:c>
      <x:c r="G205" t="str">
        <x:v>Consumer</x:v>
      </x:c>
      <x:c r="H205" t="str">
        <x:v>Website</x:v>
      </x:c>
      <x:c r="I205" t="str">
        <x:v>Credit Card</x:v>
      </x:c>
      <x:c r="J205" t="n">
        <x:v>1</x:v>
      </x:c>
      <x:c r="K205" s="14" t="n">
        <x:v>2499</x:v>
      </x:c>
      <x:c r="L205" s="16" t="n">
        <x:v>0.02</x:v>
      </x:c>
      <x:c r="M205" t="str">
        <x:v>Rohan</x:v>
      </x:c>
      <x:c r="N205" t="n">
        <x:v>4</x:v>
      </x:c>
      <x:c r="O205" s="18" t="n">
        <x:v>3.5</x:v>
      </x:c>
      <x:c r="P205" s="14" t="n">
        <x:f>J205*K205</x:f>
        <x:v>2499</x:v>
      </x:c>
      <x:c r="Q205" s="14" t="n">
        <x:f>P205*(1-L205)</x:f>
        <x:v>2449.02</x:v>
      </x:c>
      <x:c r="R205" s="14" t="n">
        <x:f>Q205*(0.24+MOD(ROW(),7)*0.005)</x:f>
        <x:v>612.255</x:v>
      </x:c>
    </x:row>
    <x:row r="206">
      <x:c r="A206" s="12" t="n">
        <x:v>46193</x:v>
      </x:c>
      <x:c r="B206" t="str">
        <x:v>EC26-0205</x:v>
      </x:c>
      <x:c r="C206" t="str">
        <x:v>Rajasthan</x:v>
      </x:c>
      <x:c r="D206" t="str">
        <x:v>Jaipur</x:v>
      </x:c>
      <x:c r="E206" t="str">
        <x:v>Electronics</x:v>
      </x:c>
      <x:c r="F206" t="str">
        <x:v>Smartwatch</x:v>
      </x:c>
      <x:c r="G206" t="str">
        <x:v>Corporate</x:v>
      </x:c>
      <x:c r="H206" t="str">
        <x:v>Marketplace</x:v>
      </x:c>
      <x:c r="I206" t="str">
        <x:v>COD</x:v>
      </x:c>
      <x:c r="J206" t="n">
        <x:v>2</x:v>
      </x:c>
      <x:c r="K206" s="14" t="n">
        <x:v>3999</x:v>
      </x:c>
      <x:c r="L206" s="16" t="n">
        <x:v>0.12</x:v>
      </x:c>
      <x:c r="M206" t="str">
        <x:v>Ishita</x:v>
      </x:c>
      <x:c r="N206" t="n">
        <x:v>5</x:v>
      </x:c>
      <x:c r="O206" s="18" t="n">
        <x:v>4</x:v>
      </x:c>
      <x:c r="P206" s="14" t="n">
        <x:f>J206*K206</x:f>
        <x:v>7998</x:v>
      </x:c>
      <x:c r="Q206" s="14" t="n">
        <x:f>P206*(1-L206)</x:f>
        <x:v>7038.24</x:v>
      </x:c>
      <x:c r="R206" s="14" t="n">
        <x:f>Q206*(0.24+MOD(ROW(),7)*0.005)</x:f>
        <x:v>1794.7512</x:v>
      </x:c>
    </x:row>
    <x:row r="207">
      <x:c r="A207" s="12" t="n">
        <x:v>46285</x:v>
      </x:c>
      <x:c r="B207" t="str">
        <x:v>EC26-0206</x:v>
      </x:c>
      <x:c r="C207" t="str">
        <x:v>West Bengal</x:v>
      </x:c>
      <x:c r="D207" t="str">
        <x:v>Kolkata</x:v>
      </x:c>
      <x:c r="E207" t="str">
        <x:v>Grocery</x:v>
      </x:c>
      <x:c r="F207" t="str">
        <x:v>Green Tea</x:v>
      </x:c>
      <x:c r="G207" t="str">
        <x:v>Corporate</x:v>
      </x:c>
      <x:c r="H207" t="str">
        <x:v>Marketplace</x:v>
      </x:c>
      <x:c r="I207" t="str">
        <x:v>UPI</x:v>
      </x:c>
      <x:c r="J207" t="n">
        <x:v>2</x:v>
      </x:c>
      <x:c r="K207" s="14" t="n">
        <x:v>499</x:v>
      </x:c>
      <x:c r="L207" s="16" t="n">
        <x:v>0.1</x:v>
      </x:c>
      <x:c r="M207" t="str">
        <x:v>Anaya</x:v>
      </x:c>
      <x:c r="N207" t="n">
        <x:v>4</x:v>
      </x:c>
      <x:c r="O207" s="18" t="n">
        <x:v>4.5</x:v>
      </x:c>
      <x:c r="P207" s="14" t="n">
        <x:f>J207*K207</x:f>
        <x:v>998</x:v>
      </x:c>
      <x:c r="Q207" s="14" t="n">
        <x:f>P207*(1-L207)</x:f>
        <x:v>898.2</x:v>
      </x:c>
      <x:c r="R207" s="14" t="n">
        <x:f>Q207*(0.24+MOD(ROW(),7)*0.005)</x:f>
        <x:v>233.532</x:v>
      </x:c>
    </x:row>
    <x:row r="208">
      <x:c r="A208" s="12" t="n">
        <x:v>46354</x:v>
      </x:c>
      <x:c r="B208" t="str">
        <x:v>EC26-0207</x:v>
      </x:c>
      <x:c r="C208" t="str">
        <x:v>Uttar Pradesh</x:v>
      </x:c>
      <x:c r="D208" t="str">
        <x:v>Lucknow</x:v>
      </x:c>
      <x:c r="E208" t="str">
        <x:v>Home</x:v>
      </x:c>
      <x:c r="F208" t="str">
        <x:v>Coffee Maker</x:v>
      </x:c>
      <x:c r="G208" t="str">
        <x:v>Consumer</x:v>
      </x:c>
      <x:c r="H208" t="str">
        <x:v>Marketplace</x:v>
      </x:c>
      <x:c r="I208" t="str">
        <x:v>Debit Card</x:v>
      </x:c>
      <x:c r="J208" t="n">
        <x:v>1</x:v>
      </x:c>
      <x:c r="K208" s="14" t="n">
        <x:v>4499</x:v>
      </x:c>
      <x:c r="L208" s="16" t="n">
        <x:v>0.07</x:v>
      </x:c>
      <x:c r="M208" t="str">
        <x:v>Simran</x:v>
      </x:c>
      <x:c r="N208" t="n">
        <x:v>6</x:v>
      </x:c>
      <x:c r="O208" s="18" t="n">
        <x:v>4</x:v>
      </x:c>
      <x:c r="P208" s="14" t="n">
        <x:f>J208*K208</x:f>
        <x:v>4499</x:v>
      </x:c>
      <x:c r="Q208" s="14" t="n">
        <x:f>P208*(1-L208)</x:f>
        <x:v>4184.07</x:v>
      </x:c>
      <x:c r="R208" s="14" t="n">
        <x:f>Q208*(0.24+MOD(ROW(),7)*0.005)</x:f>
        <x:v>1108.77855</x:v>
      </x:c>
    </x:row>
    <x:row r="209">
      <x:c r="A209" s="12" t="n">
        <x:v>46293</x:v>
      </x:c>
      <x:c r="B209" t="str">
        <x:v>EC26-0208</x:v>
      </x:c>
      <x:c r="C209" t="str">
        <x:v>Tamil Nadu</x:v>
      </x:c>
      <x:c r="D209" t="str">
        <x:v>Chennai</x:v>
      </x:c>
      <x:c r="E209" t="str">
        <x:v>Beauty</x:v>
      </x:c>
      <x:c r="F209" t="str">
        <x:v>Perfume</x:v>
      </x:c>
      <x:c r="G209" t="str">
        <x:v>Small Business</x:v>
      </x:c>
      <x:c r="H209" t="str">
        <x:v>Mobile App</x:v>
      </x:c>
      <x:c r="I209" t="str">
        <x:v>Wallet</x:v>
      </x:c>
      <x:c r="J209" t="n">
        <x:v>1</x:v>
      </x:c>
      <x:c r="K209" s="14" t="n">
        <x:v>2499</x:v>
      </x:c>
      <x:c r="L209" s="16" t="n">
        <x:v>0.1</x:v>
      </x:c>
      <x:c r="M209" t="str">
        <x:v>Simran</x:v>
      </x:c>
      <x:c r="N209" t="n">
        <x:v>2</x:v>
      </x:c>
      <x:c r="O209" s="18" t="n">
        <x:v>4</x:v>
      </x:c>
      <x:c r="P209" s="14" t="n">
        <x:f>J209*K209</x:f>
        <x:v>2499</x:v>
      </x:c>
      <x:c r="Q209" s="14" t="n">
        <x:f>P209*(1-L209)</x:f>
        <x:v>2249.1</x:v>
      </x:c>
      <x:c r="R209" s="14" t="n">
        <x:f>Q209*(0.24+MOD(ROW(),7)*0.005)</x:f>
        <x:v>607.2570000000001</x:v>
      </x:c>
    </x:row>
    <x:row r="210">
      <x:c r="A210" s="12" t="n">
        <x:v>46118</x:v>
      </x:c>
      <x:c r="B210" t="str">
        <x:v>EC26-0209</x:v>
      </x:c>
      <x:c r="C210" t="str">
        <x:v>Telangana</x:v>
      </x:c>
      <x:c r="D210" t="str">
        <x:v>Hyderabad</x:v>
      </x:c>
      <x:c r="E210" t="str">
        <x:v>Home</x:v>
      </x:c>
      <x:c r="F210" t="str">
        <x:v>Storage Rack</x:v>
      </x:c>
      <x:c r="G210" t="str">
        <x:v>Corporate</x:v>
      </x:c>
      <x:c r="H210" t="str">
        <x:v>Mobile App</x:v>
      </x:c>
      <x:c r="I210" t="str">
        <x:v>Wallet</x:v>
      </x:c>
      <x:c r="J210" t="n">
        <x:v>2</x:v>
      </x:c>
      <x:c r="K210" s="14" t="n">
        <x:v>2299</x:v>
      </x:c>
      <x:c r="L210" s="16" t="n">
        <x:v>0.07</x:v>
      </x:c>
      <x:c r="M210" t="str">
        <x:v>Meera</x:v>
      </x:c>
      <x:c r="N210" t="n">
        <x:v>3</x:v>
      </x:c>
      <x:c r="O210" s="18" t="n">
        <x:v>4</x:v>
      </x:c>
      <x:c r="P210" s="14" t="n">
        <x:f>J210*K210</x:f>
        <x:v>4598</x:v>
      </x:c>
      <x:c r="Q210" s="14" t="n">
        <x:f>P210*(1-L210)</x:f>
        <x:v>4276.139999999999</x:v>
      </x:c>
      <x:c r="R210" s="14" t="n">
        <x:f>Q210*(0.24+MOD(ROW(),7)*0.005)</x:f>
        <x:v>1026.2735999999998</x:v>
      </x:c>
    </x:row>
    <x:row r="211">
      <x:c r="A211" s="12" t="n">
        <x:v>46125</x:v>
      </x:c>
      <x:c r="B211" t="str">
        <x:v>EC26-0210</x:v>
      </x:c>
      <x:c r="C211" t="str">
        <x:v>Delhi</x:v>
      </x:c>
      <x:c r="D211" t="str">
        <x:v>New Delhi</x:v>
      </x:c>
      <x:c r="E211" t="str">
        <x:v>Electronics</x:v>
      </x:c>
      <x:c r="F211" t="str">
        <x:v>Wireless Earbuds</x:v>
      </x:c>
      <x:c r="G211" t="str">
        <x:v>Consumer</x:v>
      </x:c>
      <x:c r="H211" t="str">
        <x:v>Website</x:v>
      </x:c>
      <x:c r="I211" t="str">
        <x:v>Wallet</x:v>
      </x:c>
      <x:c r="J211" t="n">
        <x:v>2</x:v>
      </x:c>
      <x:c r="K211" s="14" t="n">
        <x:v>2499</x:v>
      </x:c>
      <x:c r="L211" s="16" t="n">
        <x:v>0.07</x:v>
      </x:c>
      <x:c r="M211" t="str">
        <x:v>Aarav</x:v>
      </x:c>
      <x:c r="N211" t="n">
        <x:v>2</x:v>
      </x:c>
      <x:c r="O211" s="18" t="n">
        <x:v>4</x:v>
      </x:c>
      <x:c r="P211" s="14" t="n">
        <x:f>J211*K211</x:f>
        <x:v>4998</x:v>
      </x:c>
      <x:c r="Q211" s="14" t="n">
        <x:f>P211*(1-L211)</x:f>
        <x:v>4648.139999999999</x:v>
      </x:c>
      <x:c r="R211" s="14" t="n">
        <x:f>Q211*(0.24+MOD(ROW(),7)*0.005)</x:f>
        <x:v>1138.7942999999998</x:v>
      </x:c>
    </x:row>
    <x:row r="212">
      <x:c r="A212" s="12" t="n">
        <x:v>46197</x:v>
      </x:c>
      <x:c r="B212" t="str">
        <x:v>EC26-0211</x:v>
      </x:c>
      <x:c r="C212" t="str">
        <x:v>Maharashtra</x:v>
      </x:c>
      <x:c r="D212" t="str">
        <x:v>Mumbai</x:v>
      </x:c>
      <x:c r="E212" t="str">
        <x:v>Home</x:v>
      </x:c>
      <x:c r="F212" t="str">
        <x:v>Storage Rack</x:v>
      </x:c>
      <x:c r="G212" t="str">
        <x:v>Corporate</x:v>
      </x:c>
      <x:c r="H212" t="str">
        <x:v>Mobile App</x:v>
      </x:c>
      <x:c r="I212" t="str">
        <x:v>Wallet</x:v>
      </x:c>
      <x:c r="J212" t="n">
        <x:v>1</x:v>
      </x:c>
      <x:c r="K212" s="14" t="n">
        <x:v>2299</x:v>
      </x:c>
      <x:c r="L212" s="16" t="n">
        <x:v>0.15</x:v>
      </x:c>
      <x:c r="M212" t="str">
        <x:v>Simran</x:v>
      </x:c>
      <x:c r="N212" t="n">
        <x:v>4</x:v>
      </x:c>
      <x:c r="O212" s="18" t="n">
        <x:v>4</x:v>
      </x:c>
      <x:c r="P212" s="14" t="n">
        <x:f>J212*K212</x:f>
        <x:v>2299</x:v>
      </x:c>
      <x:c r="Q212" s="14" t="n">
        <x:f>P212*(1-L212)</x:f>
        <x:v>1954.1499999999999</x:v>
      </x:c>
      <x:c r="R212" s="14" t="n">
        <x:f>Q212*(0.24+MOD(ROW(),7)*0.005)</x:f>
        <x:v>488.53749999999997</x:v>
      </x:c>
    </x:row>
    <x:row r="213">
      <x:c r="A213" s="12" t="n">
        <x:v>46323</x:v>
      </x:c>
      <x:c r="B213" t="str">
        <x:v>EC26-0212</x:v>
      </x:c>
      <x:c r="C213" t="str">
        <x:v>Karnataka</x:v>
      </x:c>
      <x:c r="D213" t="str">
        <x:v>Bengaluru</x:v>
      </x:c>
      <x:c r="E213" t="str">
        <x:v>Electronics</x:v>
      </x:c>
      <x:c r="F213" t="str">
        <x:v>Wireless Earbuds</x:v>
      </x:c>
      <x:c r="G213" t="str">
        <x:v>Corporate</x:v>
      </x:c>
      <x:c r="H213" t="str">
        <x:v>Marketplace</x:v>
      </x:c>
      <x:c r="I213" t="str">
        <x:v>Wallet</x:v>
      </x:c>
      <x:c r="J213" t="n">
        <x:v>5</x:v>
      </x:c>
      <x:c r="K213" s="14" t="n">
        <x:v>2499</x:v>
      </x:c>
      <x:c r="L213" s="16" t="n">
        <x:v>0.15</x:v>
      </x:c>
      <x:c r="M213" t="str">
        <x:v>Kabir</x:v>
      </x:c>
      <x:c r="N213" t="n">
        <x:v>6</x:v>
      </x:c>
      <x:c r="O213" s="18" t="n">
        <x:v>4</x:v>
      </x:c>
      <x:c r="P213" s="14" t="n">
        <x:f>J213*K213</x:f>
        <x:v>12495</x:v>
      </x:c>
      <x:c r="Q213" s="14" t="n">
        <x:f>P213*(1-L213)</x:f>
        <x:v>10620.75</x:v>
      </x:c>
      <x:c r="R213" s="14" t="n">
        <x:f>Q213*(0.24+MOD(ROW(),7)*0.005)</x:f>
        <x:v>2708.29125</x:v>
      </x:c>
    </x:row>
    <x:row r="214">
      <x:c r="A214" s="12" t="n">
        <x:v>46294</x:v>
      </x:c>
      <x:c r="B214" t="str">
        <x:v>EC26-0213</x:v>
      </x:c>
      <x:c r="C214" t="str">
        <x:v>Tamil Nadu</x:v>
      </x:c>
      <x:c r="D214" t="str">
        <x:v>Chennai</x:v>
      </x:c>
      <x:c r="E214" t="str">
        <x:v>Fashion</x:v>
      </x:c>
      <x:c r="F214" t="str">
        <x:v>Backpack</x:v>
      </x:c>
      <x:c r="G214" t="str">
        <x:v>Corporate</x:v>
      </x:c>
      <x:c r="H214" t="str">
        <x:v>Mobile App</x:v>
      </x:c>
      <x:c r="I214" t="str">
        <x:v>UPI</x:v>
      </x:c>
      <x:c r="J214" t="n">
        <x:v>1</x:v>
      </x:c>
      <x:c r="K214" s="14" t="n">
        <x:v>1799</x:v>
      </x:c>
      <x:c r="L214" s="16" t="n">
        <x:v>0.07</x:v>
      </x:c>
      <x:c r="M214" t="str">
        <x:v>Rohan</x:v>
      </x:c>
      <x:c r="N214" t="n">
        <x:v>2</x:v>
      </x:c>
      <x:c r="O214" s="18" t="n">
        <x:v>5</x:v>
      </x:c>
      <x:c r="P214" s="14" t="n">
        <x:f>J214*K214</x:f>
        <x:v>1799</x:v>
      </x:c>
      <x:c r="Q214" s="14" t="n">
        <x:f>P214*(1-L214)</x:f>
        <x:v>1673.07</x:v>
      </x:c>
      <x:c r="R214" s="14" t="n">
        <x:f>Q214*(0.24+MOD(ROW(),7)*0.005)</x:f>
        <x:v>434.9982</x:v>
      </x:c>
    </x:row>
    <x:row r="215">
      <x:c r="A215" s="12" t="n">
        <x:v>46083</x:v>
      </x:c>
      <x:c r="B215" t="str">
        <x:v>EC26-0214</x:v>
      </x:c>
      <x:c r="C215" t="str">
        <x:v>Uttar Pradesh</x:v>
      </x:c>
      <x:c r="D215" t="str">
        <x:v>Lucknow</x:v>
      </x:c>
      <x:c r="E215" t="str">
        <x:v>Grocery</x:v>
      </x:c>
      <x:c r="F215" t="str">
        <x:v>Coffee Beans</x:v>
      </x:c>
      <x:c r="G215" t="str">
        <x:v>Corporate</x:v>
      </x:c>
      <x:c r="H215" t="str">
        <x:v>Website</x:v>
      </x:c>
      <x:c r="I215" t="str">
        <x:v>COD</x:v>
      </x:c>
      <x:c r="J215" t="n">
        <x:v>2</x:v>
      </x:c>
      <x:c r="K215" s="14" t="n">
        <x:v>699</x:v>
      </x:c>
      <x:c r="L215" s="16" t="n">
        <x:v>0.1</x:v>
      </x:c>
      <x:c r="M215" t="str">
        <x:v>Vihaan</x:v>
      </x:c>
      <x:c r="N215" t="n">
        <x:v>3</x:v>
      </x:c>
      <x:c r="O215" s="18" t="n">
        <x:v>5</x:v>
      </x:c>
      <x:c r="P215" s="14" t="n">
        <x:f>J215*K215</x:f>
        <x:v>1398</x:v>
      </x:c>
      <x:c r="Q215" s="14" t="n">
        <x:f>P215*(1-L215)</x:f>
        <x:v>1258.2</x:v>
      </x:c>
      <x:c r="R215" s="14" t="n">
        <x:f>Q215*(0.24+MOD(ROW(),7)*0.005)</x:f>
        <x:v>333.423</x:v>
      </x:c>
    </x:row>
    <x:row r="216">
      <x:c r="A216" s="12" t="n">
        <x:v>46379</x:v>
      </x:c>
      <x:c r="B216" t="str">
        <x:v>EC26-0215</x:v>
      </x:c>
      <x:c r="C216" t="str">
        <x:v>Telangana</x:v>
      </x:c>
      <x:c r="D216" t="str">
        <x:v>Hyderabad</x:v>
      </x:c>
      <x:c r="E216" t="str">
        <x:v>Beauty</x:v>
      </x:c>
      <x:c r="F216" t="str">
        <x:v>Face Serum</x:v>
      </x:c>
      <x:c r="G216" t="str">
        <x:v>Consumer</x:v>
      </x:c>
      <x:c r="H216" t="str">
        <x:v>Website</x:v>
      </x:c>
      <x:c r="I216" t="str">
        <x:v>Credit Card</x:v>
      </x:c>
      <x:c r="J216" t="n">
        <x:v>1</x:v>
      </x:c>
      <x:c r="K216" s="14" t="n">
        <x:v>799</x:v>
      </x:c>
      <x:c r="L216" s="16" t="n">
        <x:v>0.07</x:v>
      </x:c>
      <x:c r="M216" t="str">
        <x:v>Ishita</x:v>
      </x:c>
      <x:c r="N216" t="n">
        <x:v>2</x:v>
      </x:c>
      <x:c r="O216" s="18" t="n">
        <x:v>5</x:v>
      </x:c>
      <x:c r="P216" s="14" t="n">
        <x:f>J216*K216</x:f>
        <x:v>799</x:v>
      </x:c>
      <x:c r="Q216" s="14" t="n">
        <x:f>P216*(1-L216)</x:f>
        <x:v>743.0699999999999</x:v>
      </x:c>
      <x:c r="R216" s="14" t="n">
        <x:f>Q216*(0.24+MOD(ROW(),7)*0.005)</x:f>
        <x:v>200.6289</x:v>
      </x:c>
    </x:row>
    <x:row r="217">
      <x:c r="A217" s="12" t="n">
        <x:v>46212</x:v>
      </x:c>
      <x:c r="B217" t="str">
        <x:v>EC26-0216</x:v>
      </x:c>
      <x:c r="C217" t="str">
        <x:v>Delhi</x:v>
      </x:c>
      <x:c r="D217" t="str">
        <x:v>New Delhi</x:v>
      </x:c>
      <x:c r="E217" t="str">
        <x:v>Grocery</x:v>
      </x:c>
      <x:c r="F217" t="str">
        <x:v>Protein Bars</x:v>
      </x:c>
      <x:c r="G217" t="str">
        <x:v>Consumer</x:v>
      </x:c>
      <x:c r="H217" t="str">
        <x:v>Marketplace</x:v>
      </x:c>
      <x:c r="I217" t="str">
        <x:v>COD</x:v>
      </x:c>
      <x:c r="J217" t="n">
        <x:v>2</x:v>
      </x:c>
      <x:c r="K217" s="14" t="n">
        <x:v>899</x:v>
      </x:c>
      <x:c r="L217" s="16" t="n">
        <x:v>0.02</x:v>
      </x:c>
      <x:c r="M217" t="str">
        <x:v>Rohan</x:v>
      </x:c>
      <x:c r="N217" t="n">
        <x:v>3</x:v>
      </x:c>
      <x:c r="O217" s="18" t="n">
        <x:v>5</x:v>
      </x:c>
      <x:c r="P217" s="14" t="n">
        <x:f>J217*K217</x:f>
        <x:v>1798</x:v>
      </x:c>
      <x:c r="Q217" s="14" t="n">
        <x:f>P217*(1-L217)</x:f>
        <x:v>1762.04</x:v>
      </x:c>
      <x:c r="R217" s="14" t="n">
        <x:f>Q217*(0.24+MOD(ROW(),7)*0.005)</x:f>
        <x:v>422.8896</x:v>
      </x:c>
    </x:row>
    <x:row r="218">
      <x:c r="A218" s="12" t="n">
        <x:v>46029</x:v>
      </x:c>
      <x:c r="B218" t="str">
        <x:v>EC26-0217</x:v>
      </x:c>
      <x:c r="C218" t="str">
        <x:v>Telangana</x:v>
      </x:c>
      <x:c r="D218" t="str">
        <x:v>Hyderabad</x:v>
      </x:c>
      <x:c r="E218" t="str">
        <x:v>Fashion</x:v>
      </x:c>
      <x:c r="F218" t="str">
        <x:v>Running Shoes</x:v>
      </x:c>
      <x:c r="G218" t="str">
        <x:v>Corporate</x:v>
      </x:c>
      <x:c r="H218" t="str">
        <x:v>Website</x:v>
      </x:c>
      <x:c r="I218" t="str">
        <x:v>Wallet</x:v>
      </x:c>
      <x:c r="J218" t="n">
        <x:v>2</x:v>
      </x:c>
      <x:c r="K218" s="14" t="n">
        <x:v>3499</x:v>
      </x:c>
      <x:c r="L218" s="16" t="n">
        <x:v>0.07</x:v>
      </x:c>
      <x:c r="M218" t="str">
        <x:v>Kabir</x:v>
      </x:c>
      <x:c r="N218" t="n">
        <x:v>3</x:v>
      </x:c>
      <x:c r="O218" s="18" t="n">
        <x:v>5</x:v>
      </x:c>
      <x:c r="P218" s="14" t="n">
        <x:f>J218*K218</x:f>
        <x:v>6998</x:v>
      </x:c>
      <x:c r="Q218" s="14" t="n">
        <x:f>P218*(1-L218)</x:f>
        <x:v>6508.139999999999</x:v>
      </x:c>
      <x:c r="R218" s="14" t="n">
        <x:f>Q218*(0.24+MOD(ROW(),7)*0.005)</x:f>
        <x:v>1594.4942999999998</x:v>
      </x:c>
    </x:row>
    <x:row r="219">
      <x:c r="A219" s="12" t="n">
        <x:v>46128</x:v>
      </x:c>
      <x:c r="B219" t="str">
        <x:v>EC26-0218</x:v>
      </x:c>
      <x:c r="C219" t="str">
        <x:v>Karnataka</x:v>
      </x:c>
      <x:c r="D219" t="str">
        <x:v>Bengaluru</x:v>
      </x:c>
      <x:c r="E219" t="str">
        <x:v>Home</x:v>
      </x:c>
      <x:c r="F219" t="str">
        <x:v>Bedsheet Set</x:v>
      </x:c>
      <x:c r="G219" t="str">
        <x:v>Consumer</x:v>
      </x:c>
      <x:c r="H219" t="str">
        <x:v>Marketplace</x:v>
      </x:c>
      <x:c r="I219" t="str">
        <x:v>Credit Card</x:v>
      </x:c>
      <x:c r="J219" t="n">
        <x:v>1</x:v>
      </x:c>
      <x:c r="K219" s="14" t="n">
        <x:v>1499</x:v>
      </x:c>
      <x:c r="L219" s="16" t="n">
        <x:v>0.1</x:v>
      </x:c>
      <x:c r="M219" t="str">
        <x:v>Ishita</x:v>
      </x:c>
      <x:c r="N219" t="n">
        <x:v>4</x:v>
      </x:c>
      <x:c r="O219" s="18" t="n">
        <x:v>4.5</x:v>
      </x:c>
      <x:c r="P219" s="14" t="n">
        <x:f>J219*K219</x:f>
        <x:v>1499</x:v>
      </x:c>
      <x:c r="Q219" s="14" t="n">
        <x:f>P219*(1-L219)</x:f>
        <x:v>1349.1000000000001</x:v>
      </x:c>
      <x:c r="R219" s="14" t="n">
        <x:f>Q219*(0.24+MOD(ROW(),7)*0.005)</x:f>
        <x:v>337.27500000000003</x:v>
      </x:c>
    </x:row>
    <x:row r="220">
      <x:c r="A220" s="12" t="n">
        <x:v>46193</x:v>
      </x:c>
      <x:c r="B220" t="str">
        <x:v>EC26-0219</x:v>
      </x:c>
      <x:c r="C220" t="str">
        <x:v>West Bengal</x:v>
      </x:c>
      <x:c r="D220" t="str">
        <x:v>Kolkata</x:v>
      </x:c>
      <x:c r="E220" t="str">
        <x:v>Home</x:v>
      </x:c>
      <x:c r="F220" t="str">
        <x:v>LED Lamp</x:v>
      </x:c>
      <x:c r="G220" t="str">
        <x:v>Corporate</x:v>
      </x:c>
      <x:c r="H220" t="str">
        <x:v>Marketplace</x:v>
      </x:c>
      <x:c r="I220" t="str">
        <x:v>COD</x:v>
      </x:c>
      <x:c r="J220" t="n">
        <x:v>1</x:v>
      </x:c>
      <x:c r="K220" s="14" t="n">
        <x:v>899</x:v>
      </x:c>
      <x:c r="L220" s="16" t="n">
        <x:v>0.15</x:v>
      </x:c>
      <x:c r="M220" t="str">
        <x:v>Vihaan</x:v>
      </x:c>
      <x:c r="N220" t="n">
        <x:v>2</x:v>
      </x:c>
      <x:c r="O220" s="18" t="n">
        <x:v>4.5</x:v>
      </x:c>
      <x:c r="P220" s="14" t="n">
        <x:f>J220*K220</x:f>
        <x:v>899</x:v>
      </x:c>
      <x:c r="Q220" s="14" t="n">
        <x:f>P220*(1-L220)</x:f>
        <x:v>764.15</x:v>
      </x:c>
      <x:c r="R220" s="14" t="n">
        <x:f>Q220*(0.24+MOD(ROW(),7)*0.005)</x:f>
        <x:v>194.85825</x:v>
      </x:c>
    </x:row>
    <x:row r="221">
      <x:c r="A221" s="12" t="n">
        <x:v>46061</x:v>
      </x:c>
      <x:c r="B221" t="str">
        <x:v>EC26-0220</x:v>
      </x:c>
      <x:c r="C221" t="str">
        <x:v>Delhi</x:v>
      </x:c>
      <x:c r="D221" t="str">
        <x:v>New Delhi</x:v>
      </x:c>
      <x:c r="E221" t="str">
        <x:v>Home</x:v>
      </x:c>
      <x:c r="F221" t="str">
        <x:v>Bedsheet Set</x:v>
      </x:c>
      <x:c r="G221" t="str">
        <x:v>Small Business</x:v>
      </x:c>
      <x:c r="H221" t="str">
        <x:v>Mobile App</x:v>
      </x:c>
      <x:c r="I221" t="str">
        <x:v>Credit Card</x:v>
      </x:c>
      <x:c r="J221" t="n">
        <x:v>1</x:v>
      </x:c>
      <x:c r="K221" s="14" t="n">
        <x:v>1499</x:v>
      </x:c>
      <x:c r="L221" s="16" t="n">
        <x:v>0.12</x:v>
      </x:c>
      <x:c r="M221" t="str">
        <x:v>Vihaan</x:v>
      </x:c>
      <x:c r="N221" t="n">
        <x:v>3</x:v>
      </x:c>
      <x:c r="O221" s="18" t="n">
        <x:v>3.5</x:v>
      </x:c>
      <x:c r="P221" s="14" t="n">
        <x:f>J221*K221</x:f>
        <x:v>1499</x:v>
      </x:c>
      <x:c r="Q221" s="14" t="n">
        <x:f>P221*(1-L221)</x:f>
        <x:v>1319.1200000000001</x:v>
      </x:c>
      <x:c r="R221" s="14" t="n">
        <x:f>Q221*(0.24+MOD(ROW(),7)*0.005)</x:f>
        <x:v>342.97120000000007</x:v>
      </x:c>
    </x:row>
    <x:row r="222">
      <x:c r="A222" s="12" t="n">
        <x:v>46370</x:v>
      </x:c>
      <x:c r="B222" t="str">
        <x:v>EC26-0221</x:v>
      </x:c>
      <x:c r="C222" t="str">
        <x:v>Madhya Pradesh</x:v>
      </x:c>
      <x:c r="D222" t="str">
        <x:v>Indore</x:v>
      </x:c>
      <x:c r="E222" t="str">
        <x:v>Beauty</x:v>
      </x:c>
      <x:c r="F222" t="str">
        <x:v>Hair Dryer</x:v>
      </x:c>
      <x:c r="G222" t="str">
        <x:v>Small Business</x:v>
      </x:c>
      <x:c r="H222" t="str">
        <x:v>Mobile App</x:v>
      </x:c>
      <x:c r="I222" t="str">
        <x:v>Wallet</x:v>
      </x:c>
      <x:c r="J222" t="n">
        <x:v>1</x:v>
      </x:c>
      <x:c r="K222" s="14" t="n">
        <x:v>1899</x:v>
      </x:c>
      <x:c r="L222" s="16" t="n">
        <x:v>0.15</x:v>
      </x:c>
      <x:c r="M222" t="str">
        <x:v>Meera</x:v>
      </x:c>
      <x:c r="N222" t="n">
        <x:v>3</x:v>
      </x:c>
      <x:c r="O222" s="18" t="n">
        <x:v>5</x:v>
      </x:c>
      <x:c r="P222" s="14" t="n">
        <x:f>J222*K222</x:f>
        <x:v>1899</x:v>
      </x:c>
      <x:c r="Q222" s="14" t="n">
        <x:f>P222*(1-L222)</x:f>
        <x:v>1614.1499999999999</x:v>
      </x:c>
      <x:c r="R222" s="14" t="n">
        <x:f>Q222*(0.24+MOD(ROW(),7)*0.005)</x:f>
        <x:v>427.74975</x:v>
      </x:c>
    </x:row>
    <x:row r="223">
      <x:c r="A223" s="12" t="n">
        <x:v>46336</x:v>
      </x:c>
      <x:c r="B223" t="str">
        <x:v>EC26-0222</x:v>
      </x:c>
      <x:c r="C223" t="str">
        <x:v>Maharashtra</x:v>
      </x:c>
      <x:c r="D223" t="str">
        <x:v>Mumbai</x:v>
      </x:c>
      <x:c r="E223" t="str">
        <x:v>Fashion</x:v>
      </x:c>
      <x:c r="F223" t="str">
        <x:v>Backpack</x:v>
      </x:c>
      <x:c r="G223" t="str">
        <x:v>Small Business</x:v>
      </x:c>
      <x:c r="H223" t="str">
        <x:v>Mobile App</x:v>
      </x:c>
      <x:c r="I223" t="str">
        <x:v>Credit Card</x:v>
      </x:c>
      <x:c r="J223" t="n">
        <x:v>3</x:v>
      </x:c>
      <x:c r="K223" s="14" t="n">
        <x:v>1799</x:v>
      </x:c>
      <x:c r="L223" s="16" t="n">
        <x:v>0</x:v>
      </x:c>
      <x:c r="M223" t="str">
        <x:v>Vihaan</x:v>
      </x:c>
      <x:c r="N223" t="n">
        <x:v>3</x:v>
      </x:c>
      <x:c r="O223" s="18" t="n">
        <x:v>4.5</x:v>
      </x:c>
      <x:c r="P223" s="14" t="n">
        <x:f>J223*K223</x:f>
        <x:v>5397</x:v>
      </x:c>
      <x:c r="Q223" s="14" t="n">
        <x:f>P223*(1-L223)</x:f>
        <x:v>5397</x:v>
      </x:c>
      <x:c r="R223" s="14" t="n">
        <x:f>Q223*(0.24+MOD(ROW(),7)*0.005)</x:f>
        <x:v>1457.19</x:v>
      </x:c>
    </x:row>
    <x:row r="224">
      <x:c r="A224" s="12" t="n">
        <x:v>46242</x:v>
      </x:c>
      <x:c r="B224" t="str">
        <x:v>EC26-0223</x:v>
      </x:c>
      <x:c r="C224" t="str">
        <x:v>Maharashtra</x:v>
      </x:c>
      <x:c r="D224" t="str">
        <x:v>Mumbai</x:v>
      </x:c>
      <x:c r="E224" t="str">
        <x:v>Home</x:v>
      </x:c>
      <x:c r="F224" t="str">
        <x:v>LED Lamp</x:v>
      </x:c>
      <x:c r="G224" t="str">
        <x:v>Small Business</x:v>
      </x:c>
      <x:c r="H224" t="str">
        <x:v>Marketplace</x:v>
      </x:c>
      <x:c r="I224" t="str">
        <x:v>Credit Card</x:v>
      </x:c>
      <x:c r="J224" t="n">
        <x:v>1</x:v>
      </x:c>
      <x:c r="K224" s="14" t="n">
        <x:v>899</x:v>
      </x:c>
      <x:c r="L224" s="16" t="n">
        <x:v>0.15</x:v>
      </x:c>
      <x:c r="M224" t="str">
        <x:v>Aarav</x:v>
      </x:c>
      <x:c r="N224" t="n">
        <x:v>1</x:v>
      </x:c>
      <x:c r="O224" s="18" t="n">
        <x:v>5</x:v>
      </x:c>
      <x:c r="P224" s="14" t="n">
        <x:f>J224*K224</x:f>
        <x:v>899</x:v>
      </x:c>
      <x:c r="Q224" s="14" t="n">
        <x:f>P224*(1-L224)</x:f>
        <x:v>764.15</x:v>
      </x:c>
      <x:c r="R224" s="14" t="n">
        <x:f>Q224*(0.24+MOD(ROW(),7)*0.005)</x:f>
        <x:v>183.396</x:v>
      </x:c>
    </x:row>
    <x:row r="225">
      <x:c r="A225" s="12" t="n">
        <x:v>46041</x:v>
      </x:c>
      <x:c r="B225" t="str">
        <x:v>EC26-0224</x:v>
      </x:c>
      <x:c r="C225" t="str">
        <x:v>West Bengal</x:v>
      </x:c>
      <x:c r="D225" t="str">
        <x:v>Kolkata</x:v>
      </x:c>
      <x:c r="E225" t="str">
        <x:v>Electronics</x:v>
      </x:c>
      <x:c r="F225" t="str">
        <x:v>Bluetooth Speaker</x:v>
      </x:c>
      <x:c r="G225" t="str">
        <x:v>Corporate</x:v>
      </x:c>
      <x:c r="H225" t="str">
        <x:v>Mobile App</x:v>
      </x:c>
      <x:c r="I225" t="str">
        <x:v>COD</x:v>
      </x:c>
      <x:c r="J225" t="n">
        <x:v>3</x:v>
      </x:c>
      <x:c r="K225" s="14" t="n">
        <x:v>2999</x:v>
      </x:c>
      <x:c r="L225" s="16" t="n">
        <x:v>0.05</x:v>
      </x:c>
      <x:c r="M225" t="str">
        <x:v>Kabir</x:v>
      </x:c>
      <x:c r="N225" t="n">
        <x:v>4</x:v>
      </x:c>
      <x:c r="O225" s="18" t="n">
        <x:v>4</x:v>
      </x:c>
      <x:c r="P225" s="14" t="n">
        <x:f>J225*K225</x:f>
        <x:v>8997</x:v>
      </x:c>
      <x:c r="Q225" s="14" t="n">
        <x:f>P225*(1-L225)</x:f>
        <x:v>8547.15</x:v>
      </x:c>
      <x:c r="R225" s="14" t="n">
        <x:f>Q225*(0.24+MOD(ROW(),7)*0.005)</x:f>
        <x:v>2094.05175</x:v>
      </x:c>
    </x:row>
    <x:row r="226">
      <x:c r="A226" s="12" t="n">
        <x:v>46159</x:v>
      </x:c>
      <x:c r="B226" t="str">
        <x:v>EC26-0225</x:v>
      </x:c>
      <x:c r="C226" t="str">
        <x:v>Rajasthan</x:v>
      </x:c>
      <x:c r="D226" t="str">
        <x:v>Jaipur</x:v>
      </x:c>
      <x:c r="E226" t="str">
        <x:v>Grocery</x:v>
      </x:c>
      <x:c r="F226" t="str">
        <x:v>Healthy Snacks</x:v>
      </x:c>
      <x:c r="G226" t="str">
        <x:v>Consumer</x:v>
      </x:c>
      <x:c r="H226" t="str">
        <x:v>Website</x:v>
      </x:c>
      <x:c r="I226" t="str">
        <x:v>COD</x:v>
      </x:c>
      <x:c r="J226" t="n">
        <x:v>4</x:v>
      </x:c>
      <x:c r="K226" s="14" t="n">
        <x:v>599</x:v>
      </x:c>
      <x:c r="L226" s="16" t="n">
        <x:v>0</x:v>
      </x:c>
      <x:c r="M226" t="str">
        <x:v>Simran</x:v>
      </x:c>
      <x:c r="N226" t="n">
        <x:v>3</x:v>
      </x:c>
      <x:c r="O226" s="18" t="n">
        <x:v>5</x:v>
      </x:c>
      <x:c r="P226" s="14" t="n">
        <x:f>J226*K226</x:f>
        <x:v>2396</x:v>
      </x:c>
      <x:c r="Q226" s="14" t="n">
        <x:f>P226*(1-L226)</x:f>
        <x:v>2396</x:v>
      </x:c>
      <x:c r="R226" s="14" t="n">
        <x:f>Q226*(0.24+MOD(ROW(),7)*0.005)</x:f>
        <x:v>599</x:v>
      </x:c>
    </x:row>
    <x:row r="227">
      <x:c r="A227" s="12" t="n">
        <x:v>46288</x:v>
      </x:c>
      <x:c r="B227" t="str">
        <x:v>EC26-0226</x:v>
      </x:c>
      <x:c r="C227" t="str">
        <x:v>Kerala</x:v>
      </x:c>
      <x:c r="D227" t="str">
        <x:v>Kochi</x:v>
      </x:c>
      <x:c r="E227" t="str">
        <x:v>Grocery</x:v>
      </x:c>
      <x:c r="F227" t="str">
        <x:v>Coffee Beans</x:v>
      </x:c>
      <x:c r="G227" t="str">
        <x:v>Corporate</x:v>
      </x:c>
      <x:c r="H227" t="str">
        <x:v>Website</x:v>
      </x:c>
      <x:c r="I227" t="str">
        <x:v>UPI</x:v>
      </x:c>
      <x:c r="J227" t="n">
        <x:v>1</x:v>
      </x:c>
      <x:c r="K227" s="14" t="n">
        <x:v>699</x:v>
      </x:c>
      <x:c r="L227" s="16" t="n">
        <x:v>0.1</x:v>
      </x:c>
      <x:c r="M227" t="str">
        <x:v>Simran</x:v>
      </x:c>
      <x:c r="N227" t="n">
        <x:v>5</x:v>
      </x:c>
      <x:c r="O227" s="18" t="n">
        <x:v>4.5</x:v>
      </x:c>
      <x:c r="P227" s="14" t="n">
        <x:f>J227*K227</x:f>
        <x:v>699</x:v>
      </x:c>
      <x:c r="Q227" s="14" t="n">
        <x:f>P227*(1-L227)</x:f>
        <x:v>629.1</x:v>
      </x:c>
      <x:c r="R227" s="14" t="n">
        <x:f>Q227*(0.24+MOD(ROW(),7)*0.005)</x:f>
        <x:v>160.4205</x:v>
      </x:c>
    </x:row>
    <x:row r="228">
      <x:c r="A228" s="12" t="n">
        <x:v>46024</x:v>
      </x:c>
      <x:c r="B228" t="str">
        <x:v>EC26-0227</x:v>
      </x:c>
      <x:c r="C228" t="str">
        <x:v>Punjab</x:v>
      </x:c>
      <x:c r="D228" t="str">
        <x:v>Ludhiana</x:v>
      </x:c>
      <x:c r="E228" t="str">
        <x:v>Beauty</x:v>
      </x:c>
      <x:c r="F228" t="str">
        <x:v>Face Serum</x:v>
      </x:c>
      <x:c r="G228" t="str">
        <x:v>Consumer</x:v>
      </x:c>
      <x:c r="H228" t="str">
        <x:v>Mobile App</x:v>
      </x:c>
      <x:c r="I228" t="str">
        <x:v>Debit Card</x:v>
      </x:c>
      <x:c r="J228" t="n">
        <x:v>4</x:v>
      </x:c>
      <x:c r="K228" s="14" t="n">
        <x:v>799</x:v>
      </x:c>
      <x:c r="L228" s="16" t="n">
        <x:v>0.02</x:v>
      </x:c>
      <x:c r="M228" t="str">
        <x:v>Simran</x:v>
      </x:c>
      <x:c r="N228" t="n">
        <x:v>2</x:v>
      </x:c>
      <x:c r="O228" s="18" t="n">
        <x:v>4</x:v>
      </x:c>
      <x:c r="P228" s="14" t="n">
        <x:f>J228*K228</x:f>
        <x:v>3196</x:v>
      </x:c>
      <x:c r="Q228" s="14" t="n">
        <x:f>P228*(1-L228)</x:f>
        <x:v>3132.08</x:v>
      </x:c>
      <x:c r="R228" s="14" t="n">
        <x:f>Q228*(0.24+MOD(ROW(),7)*0.005)</x:f>
        <x:v>814.3408000000001</x:v>
      </x:c>
    </x:row>
    <x:row r="229">
      <x:c r="A229" s="12" t="n">
        <x:v>46309</x:v>
      </x:c>
      <x:c r="B229" t="str">
        <x:v>EC26-0228</x:v>
      </x:c>
      <x:c r="C229" t="str">
        <x:v>Tamil Nadu</x:v>
      </x:c>
      <x:c r="D229" t="str">
        <x:v>Chennai</x:v>
      </x:c>
      <x:c r="E229" t="str">
        <x:v>Home</x:v>
      </x:c>
      <x:c r="F229" t="str">
        <x:v>LED Lamp</x:v>
      </x:c>
      <x:c r="G229" t="str">
        <x:v>Small Business</x:v>
      </x:c>
      <x:c r="H229" t="str">
        <x:v>Mobile App</x:v>
      </x:c>
      <x:c r="I229" t="str">
        <x:v>UPI</x:v>
      </x:c>
      <x:c r="J229" t="n">
        <x:v>2</x:v>
      </x:c>
      <x:c r="K229" s="14" t="n">
        <x:v>899</x:v>
      </x:c>
      <x:c r="L229" s="16" t="n">
        <x:v>0.05</x:v>
      </x:c>
      <x:c r="M229" t="str">
        <x:v>Simran</x:v>
      </x:c>
      <x:c r="N229" t="n">
        <x:v>5</x:v>
      </x:c>
      <x:c r="O229" s="18" t="n">
        <x:v>5</x:v>
      </x:c>
      <x:c r="P229" s="14" t="n">
        <x:f>J229*K229</x:f>
        <x:v>1798</x:v>
      </x:c>
      <x:c r="Q229" s="14" t="n">
        <x:f>P229*(1-L229)</x:f>
        <x:v>1708.1</x:v>
      </x:c>
      <x:c r="R229" s="14" t="n">
        <x:f>Q229*(0.24+MOD(ROW(),7)*0.005)</x:f>
        <x:v>452.6465</x:v>
      </x:c>
    </x:row>
    <x:row r="230">
      <x:c r="A230" s="12" t="n">
        <x:v>46207</x:v>
      </x:c>
      <x:c r="B230" t="str">
        <x:v>EC26-0229</x:v>
      </x:c>
      <x:c r="C230" t="str">
        <x:v>Kerala</x:v>
      </x:c>
      <x:c r="D230" t="str">
        <x:v>Kochi</x:v>
      </x:c>
      <x:c r="E230" t="str">
        <x:v>Fashion</x:v>
      </x:c>
      <x:c r="F230" t="str">
        <x:v>Sneakers</x:v>
      </x:c>
      <x:c r="G230" t="str">
        <x:v>Small Business</x:v>
      </x:c>
      <x:c r="H230" t="str">
        <x:v>Website</x:v>
      </x:c>
      <x:c r="I230" t="str">
        <x:v>COD</x:v>
      </x:c>
      <x:c r="J230" t="n">
        <x:v>3</x:v>
      </x:c>
      <x:c r="K230" s="14" t="n">
        <x:v>2799</x:v>
      </x:c>
      <x:c r="L230" s="16" t="n">
        <x:v>0.1</x:v>
      </x:c>
      <x:c r="M230" t="str">
        <x:v>Aarav</x:v>
      </x:c>
      <x:c r="N230" t="n">
        <x:v>4</x:v>
      </x:c>
      <x:c r="O230" s="18" t="n">
        <x:v>4</x:v>
      </x:c>
      <x:c r="P230" s="14" t="n">
        <x:f>J230*K230</x:f>
        <x:v>8397</x:v>
      </x:c>
      <x:c r="Q230" s="14" t="n">
        <x:f>P230*(1-L230)</x:f>
        <x:v>7557.3</x:v>
      </x:c>
      <x:c r="R230" s="14" t="n">
        <x:f>Q230*(0.24+MOD(ROW(),7)*0.005)</x:f>
        <x:v>2040.4710000000002</x:v>
      </x:c>
    </x:row>
    <x:row r="231">
      <x:c r="A231" s="12" t="n">
        <x:v>46231</x:v>
      </x:c>
      <x:c r="B231" t="str">
        <x:v>EC26-0230</x:v>
      </x:c>
      <x:c r="C231" t="str">
        <x:v>Karnataka</x:v>
      </x:c>
      <x:c r="D231" t="str">
        <x:v>Bengaluru</x:v>
      </x:c>
      <x:c r="E231" t="str">
        <x:v>Fashion</x:v>
      </x:c>
      <x:c r="F231" t="str">
        <x:v>Sneakers</x:v>
      </x:c>
      <x:c r="G231" t="str">
        <x:v>Small Business</x:v>
      </x:c>
      <x:c r="H231" t="str">
        <x:v>Website</x:v>
      </x:c>
      <x:c r="I231" t="str">
        <x:v>COD</x:v>
      </x:c>
      <x:c r="J231" t="n">
        <x:v>2</x:v>
      </x:c>
      <x:c r="K231" s="14" t="n">
        <x:v>2799</x:v>
      </x:c>
      <x:c r="L231" s="16" t="n">
        <x:v>0</x:v>
      </x:c>
      <x:c r="M231" t="str">
        <x:v>Simran</x:v>
      </x:c>
      <x:c r="N231" t="n">
        <x:v>2</x:v>
      </x:c>
      <x:c r="O231" s="18" t="n">
        <x:v>5</x:v>
      </x:c>
      <x:c r="P231" s="14" t="n">
        <x:f>J231*K231</x:f>
        <x:v>5598</x:v>
      </x:c>
      <x:c r="Q231" s="14" t="n">
        <x:f>P231*(1-L231)</x:f>
        <x:v>5598</x:v>
      </x:c>
      <x:c r="R231" s="14" t="n">
        <x:f>Q231*(0.24+MOD(ROW(),7)*0.005)</x:f>
        <x:v>1343.52</x:v>
      </x:c>
    </x:row>
    <x:row r="232">
      <x:c r="A232" s="12" t="n">
        <x:v>46284</x:v>
      </x:c>
      <x:c r="B232" t="str">
        <x:v>EC26-0231</x:v>
      </x:c>
      <x:c r="C232" t="str">
        <x:v>Maharashtra</x:v>
      </x:c>
      <x:c r="D232" t="str">
        <x:v>Mumbai</x:v>
      </x:c>
      <x:c r="E232" t="str">
        <x:v>Home</x:v>
      </x:c>
      <x:c r="F232" t="str">
        <x:v>Coffee Maker</x:v>
      </x:c>
      <x:c r="G232" t="str">
        <x:v>Consumer</x:v>
      </x:c>
      <x:c r="H232" t="str">
        <x:v>Mobile App</x:v>
      </x:c>
      <x:c r="I232" t="str">
        <x:v>UPI</x:v>
      </x:c>
      <x:c r="J232" t="n">
        <x:v>2</x:v>
      </x:c>
      <x:c r="K232" s="14" t="n">
        <x:v>4499</x:v>
      </x:c>
      <x:c r="L232" s="16" t="n">
        <x:v>0.07</x:v>
      </x:c>
      <x:c r="M232" t="str">
        <x:v>Meera</x:v>
      </x:c>
      <x:c r="N232" t="n">
        <x:v>5</x:v>
      </x:c>
      <x:c r="O232" s="18" t="n">
        <x:v>5</x:v>
      </x:c>
      <x:c r="P232" s="14" t="n">
        <x:f>J232*K232</x:f>
        <x:v>8998</x:v>
      </x:c>
      <x:c r="Q232" s="14" t="n">
        <x:f>P232*(1-L232)</x:f>
        <x:v>8368.14</x:v>
      </x:c>
      <x:c r="R232" s="14" t="n">
        <x:f>Q232*(0.24+MOD(ROW(),7)*0.005)</x:f>
        <x:v>2050.1942999999997</x:v>
      </x:c>
    </x:row>
    <x:row r="233">
      <x:c r="A233" s="12" t="n">
        <x:v>46265</x:v>
      </x:c>
      <x:c r="B233" t="str">
        <x:v>EC26-0232</x:v>
      </x:c>
      <x:c r="C233" t="str">
        <x:v>Gujarat</x:v>
      </x:c>
      <x:c r="D233" t="str">
        <x:v>Ahmedabad</x:v>
      </x:c>
      <x:c r="E233" t="str">
        <x:v>Electronics</x:v>
      </x:c>
      <x:c r="F233" t="str">
        <x:v>Smartwatch</x:v>
      </x:c>
      <x:c r="G233" t="str">
        <x:v>Small Business</x:v>
      </x:c>
      <x:c r="H233" t="str">
        <x:v>Marketplace</x:v>
      </x:c>
      <x:c r="I233" t="str">
        <x:v>Credit Card</x:v>
      </x:c>
      <x:c r="J233" t="n">
        <x:v>1</x:v>
      </x:c>
      <x:c r="K233" s="14" t="n">
        <x:v>3999</x:v>
      </x:c>
      <x:c r="L233" s="16" t="n">
        <x:v>0.1</x:v>
      </x:c>
      <x:c r="M233" t="str">
        <x:v>Simran</x:v>
      </x:c>
      <x:c r="N233" t="n">
        <x:v>3</x:v>
      </x:c>
      <x:c r="O233" s="18" t="n">
        <x:v>4.5</x:v>
      </x:c>
      <x:c r="P233" s="14" t="n">
        <x:f>J233*K233</x:f>
        <x:v>3999</x:v>
      </x:c>
      <x:c r="Q233" s="14" t="n">
        <x:f>P233*(1-L233)</x:f>
        <x:v>3599.1</x:v>
      </x:c>
      <x:c r="R233" s="14" t="n">
        <x:f>Q233*(0.24+MOD(ROW(),7)*0.005)</x:f>
        <x:v>899.775</x:v>
      </x:c>
    </x:row>
    <x:row r="234">
      <x:c r="A234" s="12" t="n">
        <x:v>46255</x:v>
      </x:c>
      <x:c r="B234" t="str">
        <x:v>EC26-0233</x:v>
      </x:c>
      <x:c r="C234" t="str">
        <x:v>Maharashtra</x:v>
      </x:c>
      <x:c r="D234" t="str">
        <x:v>Mumbai</x:v>
      </x:c>
      <x:c r="E234" t="str">
        <x:v>Beauty</x:v>
      </x:c>
      <x:c r="F234" t="str">
        <x:v>Hair Dryer</x:v>
      </x:c>
      <x:c r="G234" t="str">
        <x:v>Small Business</x:v>
      </x:c>
      <x:c r="H234" t="str">
        <x:v>Website</x:v>
      </x:c>
      <x:c r="I234" t="str">
        <x:v>Wallet</x:v>
      </x:c>
      <x:c r="J234" t="n">
        <x:v>1</x:v>
      </x:c>
      <x:c r="K234" s="14" t="n">
        <x:v>1899</x:v>
      </x:c>
      <x:c r="L234" s="16" t="n">
        <x:v>0</x:v>
      </x:c>
      <x:c r="M234" t="str">
        <x:v>Vihaan</x:v>
      </x:c>
      <x:c r="N234" t="n">
        <x:v>6</x:v>
      </x:c>
      <x:c r="O234" s="18" t="n">
        <x:v>4.5</x:v>
      </x:c>
      <x:c r="P234" s="14" t="n">
        <x:f>J234*K234</x:f>
        <x:v>1899</x:v>
      </x:c>
      <x:c r="Q234" s="14" t="n">
        <x:f>P234*(1-L234)</x:f>
        <x:v>1899</x:v>
      </x:c>
      <x:c r="R234" s="14" t="n">
        <x:f>Q234*(0.24+MOD(ROW(),7)*0.005)</x:f>
        <x:v>484.245</x:v>
      </x:c>
    </x:row>
    <x:row r="235">
      <x:c r="A235" s="12" t="n">
        <x:v>46138</x:v>
      </x:c>
      <x:c r="B235" t="str">
        <x:v>EC26-0234</x:v>
      </x:c>
      <x:c r="C235" t="str">
        <x:v>Delhi</x:v>
      </x:c>
      <x:c r="D235" t="str">
        <x:v>New Delhi</x:v>
      </x:c>
      <x:c r="E235" t="str">
        <x:v>Beauty</x:v>
      </x:c>
      <x:c r="F235" t="str">
        <x:v>Skincare Kit</x:v>
      </x:c>
      <x:c r="G235" t="str">
        <x:v>Consumer</x:v>
      </x:c>
      <x:c r="H235" t="str">
        <x:v>Mobile App</x:v>
      </x:c>
      <x:c r="I235" t="str">
        <x:v>Debit Card</x:v>
      </x:c>
      <x:c r="J235" t="n">
        <x:v>3</x:v>
      </x:c>
      <x:c r="K235" s="14" t="n">
        <x:v>1299</x:v>
      </x:c>
      <x:c r="L235" s="16" t="n">
        <x:v>0.05</x:v>
      </x:c>
      <x:c r="M235" t="str">
        <x:v>Meera</x:v>
      </x:c>
      <x:c r="N235" t="n">
        <x:v>3</x:v>
      </x:c>
      <x:c r="O235" s="18" t="n">
        <x:v>4.5</x:v>
      </x:c>
      <x:c r="P235" s="14" t="n">
        <x:f>J235*K235</x:f>
        <x:v>3897</x:v>
      </x:c>
      <x:c r="Q235" s="14" t="n">
        <x:f>P235*(1-L235)</x:f>
        <x:v>3702.1499999999996</x:v>
      </x:c>
      <x:c r="R235" s="14" t="n">
        <x:f>Q235*(0.24+MOD(ROW(),7)*0.005)</x:f>
        <x:v>962.559</x:v>
      </x:c>
    </x:row>
    <x:row r="236">
      <x:c r="A236" s="12" t="n">
        <x:v>46028</x:v>
      </x:c>
      <x:c r="B236" t="str">
        <x:v>EC26-0235</x:v>
      </x:c>
      <x:c r="C236" t="str">
        <x:v>Telangana</x:v>
      </x:c>
      <x:c r="D236" t="str">
        <x:v>Hyderabad</x:v>
      </x:c>
      <x:c r="E236" t="str">
        <x:v>Fashion</x:v>
      </x:c>
      <x:c r="F236" t="str">
        <x:v>Running Shoes</x:v>
      </x:c>
      <x:c r="G236" t="str">
        <x:v>Small Business</x:v>
      </x:c>
      <x:c r="H236" t="str">
        <x:v>Website</x:v>
      </x:c>
      <x:c r="I236" t="str">
        <x:v>COD</x:v>
      </x:c>
      <x:c r="J236" t="n">
        <x:v>1</x:v>
      </x:c>
      <x:c r="K236" s="14" t="n">
        <x:v>3499</x:v>
      </x:c>
      <x:c r="L236" s="16" t="n">
        <x:v>0.12</x:v>
      </x:c>
      <x:c r="M236" t="str">
        <x:v>Kabir</x:v>
      </x:c>
      <x:c r="N236" t="n">
        <x:v>3</x:v>
      </x:c>
      <x:c r="O236" s="18" t="n">
        <x:v>4</x:v>
      </x:c>
      <x:c r="P236" s="14" t="n">
        <x:f>J236*K236</x:f>
        <x:v>3499</x:v>
      </x:c>
      <x:c r="Q236" s="14" t="n">
        <x:f>P236*(1-L236)</x:f>
        <x:v>3079.12</x:v>
      </x:c>
      <x:c r="R236" s="14" t="n">
        <x:f>Q236*(0.24+MOD(ROW(),7)*0.005)</x:f>
        <x:v>815.9668</x:v>
      </x:c>
    </x:row>
    <x:row r="237">
      <x:c r="A237" s="12" t="n">
        <x:v>46371</x:v>
      </x:c>
      <x:c r="B237" t="str">
        <x:v>EC26-0236</x:v>
      </x:c>
      <x:c r="C237" t="str">
        <x:v>Delhi</x:v>
      </x:c>
      <x:c r="D237" t="str">
        <x:v>New Delhi</x:v>
      </x:c>
      <x:c r="E237" t="str">
        <x:v>Fashion</x:v>
      </x:c>
      <x:c r="F237" t="str">
        <x:v>Denim Jacket</x:v>
      </x:c>
      <x:c r="G237" t="str">
        <x:v>Corporate</x:v>
      </x:c>
      <x:c r="H237" t="str">
        <x:v>Website</x:v>
      </x:c>
      <x:c r="I237" t="str">
        <x:v>UPI</x:v>
      </x:c>
      <x:c r="J237" t="n">
        <x:v>4</x:v>
      </x:c>
      <x:c r="K237" s="14" t="n">
        <x:v>2999</x:v>
      </x:c>
      <x:c r="L237" s="16" t="n">
        <x:v>0</x:v>
      </x:c>
      <x:c r="M237" t="str">
        <x:v>Vihaan</x:v>
      </x:c>
      <x:c r="N237" t="n">
        <x:v>6</x:v>
      </x:c>
      <x:c r="O237" s="18" t="n">
        <x:v>4</x:v>
      </x:c>
      <x:c r="P237" s="14" t="n">
        <x:f>J237*K237</x:f>
        <x:v>11996</x:v>
      </x:c>
      <x:c r="Q237" s="14" t="n">
        <x:f>P237*(1-L237)</x:f>
        <x:v>11996</x:v>
      </x:c>
      <x:c r="R237" s="14" t="n">
        <x:f>Q237*(0.24+MOD(ROW(),7)*0.005)</x:f>
        <x:v>3238.92</x:v>
      </x:c>
    </x:row>
    <x:row r="238">
      <x:c r="A238" s="12" t="n">
        <x:v>46227</x:v>
      </x:c>
      <x:c r="B238" t="str">
        <x:v>EC26-0237</x:v>
      </x:c>
      <x:c r="C238" t="str">
        <x:v>West Bengal</x:v>
      </x:c>
      <x:c r="D238" t="str">
        <x:v>Kolkata</x:v>
      </x:c>
      <x:c r="E238" t="str">
        <x:v>Home</x:v>
      </x:c>
      <x:c r="F238" t="str">
        <x:v>Bedsheet Set</x:v>
      </x:c>
      <x:c r="G238" t="str">
        <x:v>Corporate</x:v>
      </x:c>
      <x:c r="H238" t="str">
        <x:v>Marketplace</x:v>
      </x:c>
      <x:c r="I238" t="str">
        <x:v>UPI</x:v>
      </x:c>
      <x:c r="J238" t="n">
        <x:v>4</x:v>
      </x:c>
      <x:c r="K238" s="14" t="n">
        <x:v>1499</x:v>
      </x:c>
      <x:c r="L238" s="16" t="n">
        <x:v>0</x:v>
      </x:c>
      <x:c r="M238" t="str">
        <x:v>Simran</x:v>
      </x:c>
      <x:c r="N238" t="n">
        <x:v>4</x:v>
      </x:c>
      <x:c r="O238" s="18" t="n">
        <x:v>4.5</x:v>
      </x:c>
      <x:c r="P238" s="14" t="n">
        <x:f>J238*K238</x:f>
        <x:v>5996</x:v>
      </x:c>
      <x:c r="Q238" s="14" t="n">
        <x:f>P238*(1-L238)</x:f>
        <x:v>5996</x:v>
      </x:c>
      <x:c r="R238" s="14" t="n">
        <x:f>Q238*(0.24+MOD(ROW(),7)*0.005)</x:f>
        <x:v>1439.04</x:v>
      </x:c>
    </x:row>
    <x:row r="239">
      <x:c r="A239" s="12" t="n">
        <x:v>46122</x:v>
      </x:c>
      <x:c r="B239" t="str">
        <x:v>EC26-0238</x:v>
      </x:c>
      <x:c r="C239" t="str">
        <x:v>Rajasthan</x:v>
      </x:c>
      <x:c r="D239" t="str">
        <x:v>Jaipur</x:v>
      </x:c>
      <x:c r="E239" t="str">
        <x:v>Fashion</x:v>
      </x:c>
      <x:c r="F239" t="str">
        <x:v>Hoodie</x:v>
      </x:c>
      <x:c r="G239" t="str">
        <x:v>Consumer</x:v>
      </x:c>
      <x:c r="H239" t="str">
        <x:v>Mobile App</x:v>
      </x:c>
      <x:c r="I239" t="str">
        <x:v>COD</x:v>
      </x:c>
      <x:c r="J239" t="n">
        <x:v>2</x:v>
      </x:c>
      <x:c r="K239" s="14" t="n">
        <x:v>1999</x:v>
      </x:c>
      <x:c r="L239" s="16" t="n">
        <x:v>0.12</x:v>
      </x:c>
      <x:c r="M239" t="str">
        <x:v>Aarav</x:v>
      </x:c>
      <x:c r="N239" t="n">
        <x:v>4</x:v>
      </x:c>
      <x:c r="O239" s="18" t="n">
        <x:v>4</x:v>
      </x:c>
      <x:c r="P239" s="14" t="n">
        <x:f>J239*K239</x:f>
        <x:v>3998</x:v>
      </x:c>
      <x:c r="Q239" s="14" t="n">
        <x:f>P239*(1-L239)</x:f>
        <x:v>3518.2400000000002</x:v>
      </x:c>
      <x:c r="R239" s="14" t="n">
        <x:f>Q239*(0.24+MOD(ROW(),7)*0.005)</x:f>
        <x:v>861.9688</x:v>
      </x:c>
    </x:row>
    <x:row r="240">
      <x:c r="A240" s="12" t="n">
        <x:v>46067</x:v>
      </x:c>
      <x:c r="B240" t="str">
        <x:v>EC26-0239</x:v>
      </x:c>
      <x:c r="C240" t="str">
        <x:v>West Bengal</x:v>
      </x:c>
      <x:c r="D240" t="str">
        <x:v>Kolkata</x:v>
      </x:c>
      <x:c r="E240" t="str">
        <x:v>Home</x:v>
      </x:c>
      <x:c r="F240" t="str">
        <x:v>Coffee Maker</x:v>
      </x:c>
      <x:c r="G240" t="str">
        <x:v>Consumer</x:v>
      </x:c>
      <x:c r="H240" t="str">
        <x:v>Website</x:v>
      </x:c>
      <x:c r="I240" t="str">
        <x:v>COD</x:v>
      </x:c>
      <x:c r="J240" t="n">
        <x:v>1</x:v>
      </x:c>
      <x:c r="K240" s="14" t="n">
        <x:v>4499</x:v>
      </x:c>
      <x:c r="L240" s="16" t="n">
        <x:v>0.07</x:v>
      </x:c>
      <x:c r="M240" t="str">
        <x:v>Vihaan</x:v>
      </x:c>
      <x:c r="N240" t="n">
        <x:v>5</x:v>
      </x:c>
      <x:c r="O240" s="18" t="n">
        <x:v>5</x:v>
      </x:c>
      <x:c r="P240" s="14" t="n">
        <x:f>J240*K240</x:f>
        <x:v>4499</x:v>
      </x:c>
      <x:c r="Q240" s="14" t="n">
        <x:f>P240*(1-L240)</x:f>
        <x:v>4184.07</x:v>
      </x:c>
      <x:c r="R240" s="14" t="n">
        <x:f>Q240*(0.24+MOD(ROW(),7)*0.005)</x:f>
        <x:v>1046.0175</x:v>
      </x:c>
    </x:row>
    <x:row r="241">
      <x:c r="A241" s="12" t="n">
        <x:v>46178</x:v>
      </x:c>
      <x:c r="B241" t="str">
        <x:v>EC26-0240</x:v>
      </x:c>
      <x:c r="C241" t="str">
        <x:v>Telangana</x:v>
      </x:c>
      <x:c r="D241" t="str">
        <x:v>Hyderabad</x:v>
      </x:c>
      <x:c r="E241" t="str">
        <x:v>Beauty</x:v>
      </x:c>
      <x:c r="F241" t="str">
        <x:v>Makeup Set</x:v>
      </x:c>
      <x:c r="G241" t="str">
        <x:v>Consumer</x:v>
      </x:c>
      <x:c r="H241" t="str">
        <x:v>Mobile App</x:v>
      </x:c>
      <x:c r="I241" t="str">
        <x:v>COD</x:v>
      </x:c>
      <x:c r="J241" t="n">
        <x:v>2</x:v>
      </x:c>
      <x:c r="K241" s="14" t="n">
        <x:v>1599</x:v>
      </x:c>
      <x:c r="L241" s="16" t="n">
        <x:v>0.1</x:v>
      </x:c>
      <x:c r="M241" t="str">
        <x:v>Ishita</x:v>
      </x:c>
      <x:c r="N241" t="n">
        <x:v>3</x:v>
      </x:c>
      <x:c r="O241" s="18" t="n">
        <x:v>4.5</x:v>
      </x:c>
      <x:c r="P241" s="14" t="n">
        <x:f>J241*K241</x:f>
        <x:v>3198</x:v>
      </x:c>
      <x:c r="Q241" s="14" t="n">
        <x:f>P241*(1-L241)</x:f>
        <x:v>2878.2000000000003</x:v>
      </x:c>
      <x:c r="R241" s="14" t="n">
        <x:f>Q241*(0.24+MOD(ROW(),7)*0.005)</x:f>
        <x:v>733.941</x:v>
      </x:c>
    </x:row>
    <x:row r="242">
      <x:c r="A242" s="12" t="n">
        <x:v>46244</x:v>
      </x:c>
      <x:c r="B242" t="str">
        <x:v>EC26-0241</x:v>
      </x:c>
      <x:c r="C242" t="str">
        <x:v>Punjab</x:v>
      </x:c>
      <x:c r="D242" t="str">
        <x:v>Ludhiana</x:v>
      </x:c>
      <x:c r="E242" t="str">
        <x:v>Electronics</x:v>
      </x:c>
      <x:c r="F242" t="str">
        <x:v>Smartwatch</x:v>
      </x:c>
      <x:c r="G242" t="str">
        <x:v>Consumer</x:v>
      </x:c>
      <x:c r="H242" t="str">
        <x:v>Mobile App</x:v>
      </x:c>
      <x:c r="I242" t="str">
        <x:v>Debit Card</x:v>
      </x:c>
      <x:c r="J242" t="n">
        <x:v>4</x:v>
      </x:c>
      <x:c r="K242" s="14" t="n">
        <x:v>3999</x:v>
      </x:c>
      <x:c r="L242" s="16" t="n">
        <x:v>0.02</x:v>
      </x:c>
      <x:c r="M242" t="str">
        <x:v>Vihaan</x:v>
      </x:c>
      <x:c r="N242" t="n">
        <x:v>6</x:v>
      </x:c>
      <x:c r="O242" s="18" t="n">
        <x:v>4</x:v>
      </x:c>
      <x:c r="P242" s="14" t="n">
        <x:f>J242*K242</x:f>
        <x:v>15996</x:v>
      </x:c>
      <x:c r="Q242" s="14" t="n">
        <x:f>P242*(1-L242)</x:f>
        <x:v>15676.08</x:v>
      </x:c>
      <x:c r="R242" s="14" t="n">
        <x:f>Q242*(0.24+MOD(ROW(),7)*0.005)</x:f>
        <x:v>4075.7808</x:v>
      </x:c>
    </x:row>
    <x:row r="243">
      <x:c r="A243" s="12" t="n">
        <x:v>46115</x:v>
      </x:c>
      <x:c r="B243" t="str">
        <x:v>EC26-0242</x:v>
      </x:c>
      <x:c r="C243" t="str">
        <x:v>Gujarat</x:v>
      </x:c>
      <x:c r="D243" t="str">
        <x:v>Ahmedabad</x:v>
      </x:c>
      <x:c r="E243" t="str">
        <x:v>Grocery</x:v>
      </x:c>
      <x:c r="F243" t="str">
        <x:v>Coffee Beans</x:v>
      </x:c>
      <x:c r="G243" t="str">
        <x:v>Corporate</x:v>
      </x:c>
      <x:c r="H243" t="str">
        <x:v>Marketplace</x:v>
      </x:c>
      <x:c r="I243" t="str">
        <x:v>COD</x:v>
      </x:c>
      <x:c r="J243" t="n">
        <x:v>4</x:v>
      </x:c>
      <x:c r="K243" s="14" t="n">
        <x:v>699</x:v>
      </x:c>
      <x:c r="L243" s="16" t="n">
        <x:v>0.05</x:v>
      </x:c>
      <x:c r="M243" t="str">
        <x:v>Rohan</x:v>
      </x:c>
      <x:c r="N243" t="n">
        <x:v>2</x:v>
      </x:c>
      <x:c r="O243" s="18" t="n">
        <x:v>5</x:v>
      </x:c>
      <x:c r="P243" s="14" t="n">
        <x:f>J243*K243</x:f>
        <x:v>2796</x:v>
      </x:c>
      <x:c r="Q243" s="14" t="n">
        <x:f>P243*(1-L243)</x:f>
        <x:v>2656.2</x:v>
      </x:c>
      <x:c r="R243" s="14" t="n">
        <x:f>Q243*(0.24+MOD(ROW(),7)*0.005)</x:f>
        <x:v>703.893</x:v>
      </x:c>
    </x:row>
    <x:row r="244">
      <x:c r="A244" s="12" t="n">
        <x:v>46275</x:v>
      </x:c>
      <x:c r="B244" t="str">
        <x:v>EC26-0243</x:v>
      </x:c>
      <x:c r="C244" t="str">
        <x:v>West Bengal</x:v>
      </x:c>
      <x:c r="D244" t="str">
        <x:v>Kolkata</x:v>
      </x:c>
      <x:c r="E244" t="str">
        <x:v>Fashion</x:v>
      </x:c>
      <x:c r="F244" t="str">
        <x:v>Hoodie</x:v>
      </x:c>
      <x:c r="G244" t="str">
        <x:v>Corporate</x:v>
      </x:c>
      <x:c r="H244" t="str">
        <x:v>Marketplace</x:v>
      </x:c>
      <x:c r="I244" t="str">
        <x:v>Credit Card</x:v>
      </x:c>
      <x:c r="J244" t="n">
        <x:v>2</x:v>
      </x:c>
      <x:c r="K244" s="14" t="n">
        <x:v>1999</x:v>
      </x:c>
      <x:c r="L244" s="16" t="n">
        <x:v>0.07</x:v>
      </x:c>
      <x:c r="M244" t="str">
        <x:v>Vihaan</x:v>
      </x:c>
      <x:c r="N244" t="n">
        <x:v>6</x:v>
      </x:c>
      <x:c r="O244" s="18" t="n">
        <x:v>4</x:v>
      </x:c>
      <x:c r="P244" s="14" t="n">
        <x:f>J244*K244</x:f>
        <x:v>3998</x:v>
      </x:c>
      <x:c r="Q244" s="14" t="n">
        <x:f>P244*(1-L244)</x:f>
        <x:v>3718.14</x:v>
      </x:c>
      <x:c r="R244" s="14" t="n">
        <x:f>Q244*(0.24+MOD(ROW(),7)*0.005)</x:f>
        <x:v>1003.8978000000001</x:v>
      </x:c>
    </x:row>
    <x:row r="245">
      <x:c r="A245" s="12" t="n">
        <x:v>46119</x:v>
      </x:c>
      <x:c r="B245" t="str">
        <x:v>EC26-0244</x:v>
      </x:c>
      <x:c r="C245" t="str">
        <x:v>Maharashtra</x:v>
      </x:c>
      <x:c r="D245" t="str">
        <x:v>Mumbai</x:v>
      </x:c>
      <x:c r="E245" t="str">
        <x:v>Home</x:v>
      </x:c>
      <x:c r="F245" t="str">
        <x:v>LED Lamp</x:v>
      </x:c>
      <x:c r="G245" t="str">
        <x:v>Consumer</x:v>
      </x:c>
      <x:c r="H245" t="str">
        <x:v>Website</x:v>
      </x:c>
      <x:c r="I245" t="str">
        <x:v>Wallet</x:v>
      </x:c>
      <x:c r="J245" t="n">
        <x:v>1</x:v>
      </x:c>
      <x:c r="K245" s="14" t="n">
        <x:v>899</x:v>
      </x:c>
      <x:c r="L245" s="16" t="n">
        <x:v>0.1</x:v>
      </x:c>
      <x:c r="M245" t="str">
        <x:v>Meera</x:v>
      </x:c>
      <x:c r="N245" t="n">
        <x:v>2</x:v>
      </x:c>
      <x:c r="O245" s="18" t="n">
        <x:v>4.5</x:v>
      </x:c>
      <x:c r="P245" s="14" t="n">
        <x:f>J245*K245</x:f>
        <x:v>899</x:v>
      </x:c>
      <x:c r="Q245" s="14" t="n">
        <x:f>P245*(1-L245)</x:f>
        <x:v>809.1</x:v>
      </x:c>
      <x:c r="R245" s="14" t="n">
        <x:f>Q245*(0.24+MOD(ROW(),7)*0.005)</x:f>
        <x:v>194.184</x:v>
      </x:c>
    </x:row>
    <x:row r="246">
      <x:c r="A246" s="12" t="n">
        <x:v>46117</x:v>
      </x:c>
      <x:c r="B246" t="str">
        <x:v>EC26-0245</x:v>
      </x:c>
      <x:c r="C246" t="str">
        <x:v>Maharashtra</x:v>
      </x:c>
      <x:c r="D246" t="str">
        <x:v>Mumbai</x:v>
      </x:c>
      <x:c r="E246" t="str">
        <x:v>Home</x:v>
      </x:c>
      <x:c r="F246" t="str">
        <x:v>LED Lamp</x:v>
      </x:c>
      <x:c r="G246" t="str">
        <x:v>Small Business</x:v>
      </x:c>
      <x:c r="H246" t="str">
        <x:v>Mobile App</x:v>
      </x:c>
      <x:c r="I246" t="str">
        <x:v>Wallet</x:v>
      </x:c>
      <x:c r="J246" t="n">
        <x:v>1</x:v>
      </x:c>
      <x:c r="K246" s="14" t="n">
        <x:v>899</x:v>
      </x:c>
      <x:c r="L246" s="16" t="n">
        <x:v>0.12</x:v>
      </x:c>
      <x:c r="M246" t="str">
        <x:v>Ishita</x:v>
      </x:c>
      <x:c r="N246" t="n">
        <x:v>3</x:v>
      </x:c>
      <x:c r="O246" s="18" t="n">
        <x:v>4</x:v>
      </x:c>
      <x:c r="P246" s="14" t="n">
        <x:f>J246*K246</x:f>
        <x:v>899</x:v>
      </x:c>
      <x:c r="Q246" s="14" t="n">
        <x:f>P246*(1-L246)</x:f>
        <x:v>791.12</x:v>
      </x:c>
      <x:c r="R246" s="14" t="n">
        <x:f>Q246*(0.24+MOD(ROW(),7)*0.005)</x:f>
        <x:v>193.8244</x:v>
      </x:c>
    </x:row>
    <x:row r="247">
      <x:c r="A247" s="12" t="n">
        <x:v>46235</x:v>
      </x:c>
      <x:c r="B247" t="str">
        <x:v>EC26-0246</x:v>
      </x:c>
      <x:c r="C247" t="str">
        <x:v>Madhya Pradesh</x:v>
      </x:c>
      <x:c r="D247" t="str">
        <x:v>Indore</x:v>
      </x:c>
      <x:c r="E247" t="str">
        <x:v>Grocery</x:v>
      </x:c>
      <x:c r="F247" t="str">
        <x:v>Protein Bars</x:v>
      </x:c>
      <x:c r="G247" t="str">
        <x:v>Small Business</x:v>
      </x:c>
      <x:c r="H247" t="str">
        <x:v>Mobile App</x:v>
      </x:c>
      <x:c r="I247" t="str">
        <x:v>Debit Card</x:v>
      </x:c>
      <x:c r="J247" t="n">
        <x:v>1</x:v>
      </x:c>
      <x:c r="K247" s="14" t="n">
        <x:v>899</x:v>
      </x:c>
      <x:c r="L247" s="16" t="n">
        <x:v>0.1</x:v>
      </x:c>
      <x:c r="M247" t="str">
        <x:v>Meera</x:v>
      </x:c>
      <x:c r="N247" t="n">
        <x:v>6</x:v>
      </x:c>
      <x:c r="O247" s="18" t="n">
        <x:v>4.5</x:v>
      </x:c>
      <x:c r="P247" s="14" t="n">
        <x:f>J247*K247</x:f>
        <x:v>899</x:v>
      </x:c>
      <x:c r="Q247" s="14" t="n">
        <x:f>P247*(1-L247)</x:f>
        <x:v>809.1</x:v>
      </x:c>
      <x:c r="R247" s="14" t="n">
        <x:f>Q247*(0.24+MOD(ROW(),7)*0.005)</x:f>
        <x:v>202.275</x:v>
      </x:c>
    </x:row>
    <x:row r="248">
      <x:c r="A248" s="12" t="n">
        <x:v>46066</x:v>
      </x:c>
      <x:c r="B248" t="str">
        <x:v>EC26-0247</x:v>
      </x:c>
      <x:c r="C248" t="str">
        <x:v>West Bengal</x:v>
      </x:c>
      <x:c r="D248" t="str">
        <x:v>Kolkata</x:v>
      </x:c>
      <x:c r="E248" t="str">
        <x:v>Fashion</x:v>
      </x:c>
      <x:c r="F248" t="str">
        <x:v>Backpack</x:v>
      </x:c>
      <x:c r="G248" t="str">
        <x:v>Consumer</x:v>
      </x:c>
      <x:c r="H248" t="str">
        <x:v>Website</x:v>
      </x:c>
      <x:c r="I248" t="str">
        <x:v>COD</x:v>
      </x:c>
      <x:c r="J248" t="n">
        <x:v>3</x:v>
      </x:c>
      <x:c r="K248" s="14" t="n">
        <x:v>1799</x:v>
      </x:c>
      <x:c r="L248" s="16" t="n">
        <x:v>0.05</x:v>
      </x:c>
      <x:c r="M248" t="str">
        <x:v>Kabir</x:v>
      </x:c>
      <x:c r="N248" t="n">
        <x:v>3</x:v>
      </x:c>
      <x:c r="O248" s="18" t="n">
        <x:v>4.5</x:v>
      </x:c>
      <x:c r="P248" s="14" t="n">
        <x:f>J248*K248</x:f>
        <x:v>5397</x:v>
      </x:c>
      <x:c r="Q248" s="14" t="n">
        <x:f>P248*(1-L248)</x:f>
        <x:v>5127.15</x:v>
      </x:c>
      <x:c r="R248" s="14" t="n">
        <x:f>Q248*(0.24+MOD(ROW(),7)*0.005)</x:f>
        <x:v>1307.4232499999998</x:v>
      </x:c>
    </x:row>
    <x:row r="249">
      <x:c r="A249" s="12" t="n">
        <x:v>46370</x:v>
      </x:c>
      <x:c r="B249" t="str">
        <x:v>EC26-0248</x:v>
      </x:c>
      <x:c r="C249" t="str">
        <x:v>Gujarat</x:v>
      </x:c>
      <x:c r="D249" t="str">
        <x:v>Ahmedabad</x:v>
      </x:c>
      <x:c r="E249" t="str">
        <x:v>Home</x:v>
      </x:c>
      <x:c r="F249" t="str">
        <x:v>Air Fryer</x:v>
      </x:c>
      <x:c r="G249" t="str">
        <x:v>Corporate</x:v>
      </x:c>
      <x:c r="H249" t="str">
        <x:v>Website</x:v>
      </x:c>
      <x:c r="I249" t="str">
        <x:v>COD</x:v>
      </x:c>
      <x:c r="J249" t="n">
        <x:v>2</x:v>
      </x:c>
      <x:c r="K249" s="14" t="n">
        <x:v>5999</x:v>
      </x:c>
      <x:c r="L249" s="16" t="n">
        <x:v>0.15</x:v>
      </x:c>
      <x:c r="M249" t="str">
        <x:v>Aarav</x:v>
      </x:c>
      <x:c r="N249" t="n">
        <x:v>1</x:v>
      </x:c>
      <x:c r="O249" s="18" t="n">
        <x:v>3.5</x:v>
      </x:c>
      <x:c r="P249" s="14" t="n">
        <x:f>J249*K249</x:f>
        <x:v>11998</x:v>
      </x:c>
      <x:c r="Q249" s="14" t="n">
        <x:f>P249*(1-L249)</x:f>
        <x:v>10198.3</x:v>
      </x:c>
      <x:c r="R249" s="14" t="n">
        <x:f>Q249*(0.24+MOD(ROW(),7)*0.005)</x:f>
        <x:v>2651.558</x:v>
      </x:c>
    </x:row>
    <x:row r="250">
      <x:c r="A250" s="12" t="n">
        <x:v>46053</x:v>
      </x:c>
      <x:c r="B250" t="str">
        <x:v>EC26-0249</x:v>
      </x:c>
      <x:c r="C250" t="str">
        <x:v>Madhya Pradesh</x:v>
      </x:c>
      <x:c r="D250" t="str">
        <x:v>Indore</x:v>
      </x:c>
      <x:c r="E250" t="str">
        <x:v>Fashion</x:v>
      </x:c>
      <x:c r="F250" t="str">
        <x:v>Backpack</x:v>
      </x:c>
      <x:c r="G250" t="str">
        <x:v>Corporate</x:v>
      </x:c>
      <x:c r="H250" t="str">
        <x:v>Marketplace</x:v>
      </x:c>
      <x:c r="I250" t="str">
        <x:v>COD</x:v>
      </x:c>
      <x:c r="J250" t="n">
        <x:v>1</x:v>
      </x:c>
      <x:c r="K250" s="14" t="n">
        <x:v>1799</x:v>
      </x:c>
      <x:c r="L250" s="16" t="n">
        <x:v>0.02</x:v>
      </x:c>
      <x:c r="M250" t="str">
        <x:v>Meera</x:v>
      </x:c>
      <x:c r="N250" t="n">
        <x:v>3</x:v>
      </x:c>
      <x:c r="O250" s="18" t="n">
        <x:v>4.5</x:v>
      </x:c>
      <x:c r="P250" s="14" t="n">
        <x:f>J250*K250</x:f>
        <x:v>1799</x:v>
      </x:c>
      <x:c r="Q250" s="14" t="n">
        <x:f>P250*(1-L250)</x:f>
        <x:v>1763.02</x:v>
      </x:c>
      <x:c r="R250" s="14" t="n">
        <x:f>Q250*(0.24+MOD(ROW(),7)*0.005)</x:f>
        <x:v>467.2003</x:v>
      </x:c>
    </x:row>
    <x:row r="251">
      <x:c r="A251" s="12" t="n">
        <x:v>46223</x:v>
      </x:c>
      <x:c r="B251" t="str">
        <x:v>EC26-0250</x:v>
      </x:c>
      <x:c r="C251" t="str">
        <x:v>Gujarat</x:v>
      </x:c>
      <x:c r="D251" t="str">
        <x:v>Ahmedabad</x:v>
      </x:c>
      <x:c r="E251" t="str">
        <x:v>Grocery</x:v>
      </x:c>
      <x:c r="F251" t="str">
        <x:v>Protein Bars</x:v>
      </x:c>
      <x:c r="G251" t="str">
        <x:v>Small Business</x:v>
      </x:c>
      <x:c r="H251" t="str">
        <x:v>Marketplace</x:v>
      </x:c>
      <x:c r="I251" t="str">
        <x:v>COD</x:v>
      </x:c>
      <x:c r="J251" t="n">
        <x:v>1</x:v>
      </x:c>
      <x:c r="K251" s="14" t="n">
        <x:v>899</x:v>
      </x:c>
      <x:c r="L251" s="16" t="n">
        <x:v>0.07</x:v>
      </x:c>
      <x:c r="M251" t="str">
        <x:v>Meera</x:v>
      </x:c>
      <x:c r="N251" t="n">
        <x:v>2</x:v>
      </x:c>
      <x:c r="O251" s="18" t="n">
        <x:v>4</x:v>
      </x:c>
      <x:c r="P251" s="14" t="n">
        <x:f>J251*K251</x:f>
        <x:v>899</x:v>
      </x:c>
      <x:c r="Q251" s="14" t="n">
        <x:f>P251*(1-L251)</x:f>
        <x:v>836.0699999999999</x:v>
      </x:c>
      <x:c r="R251" s="14" t="n">
        <x:f>Q251*(0.24+MOD(ROW(),7)*0.005)</x:f>
        <x:v>225.7389</x:v>
      </x:c>
    </x:row>
    <x:row r="252">
      <x:c r="A252" s="12" t="n">
        <x:v>46313</x:v>
      </x:c>
      <x:c r="B252" t="str">
        <x:v>EC26-0251</x:v>
      </x:c>
      <x:c r="C252" t="str">
        <x:v>Karnataka</x:v>
      </x:c>
      <x:c r="D252" t="str">
        <x:v>Bengaluru</x:v>
      </x:c>
      <x:c r="E252" t="str">
        <x:v>Grocery</x:v>
      </x:c>
      <x:c r="F252" t="str">
        <x:v>Healthy Snacks</x:v>
      </x:c>
      <x:c r="G252" t="str">
        <x:v>Small Business</x:v>
      </x:c>
      <x:c r="H252" t="str">
        <x:v>Marketplace</x:v>
      </x:c>
      <x:c r="I252" t="str">
        <x:v>Credit Card</x:v>
      </x:c>
      <x:c r="J252" t="n">
        <x:v>2</x:v>
      </x:c>
      <x:c r="K252" s="14" t="n">
        <x:v>599</x:v>
      </x:c>
      <x:c r="L252" s="16" t="n">
        <x:v>0</x:v>
      </x:c>
      <x:c r="M252" t="str">
        <x:v>Anaya</x:v>
      </x:c>
      <x:c r="N252" t="n">
        <x:v>4</x:v>
      </x:c>
      <x:c r="O252" s="18" t="n">
        <x:v>5</x:v>
      </x:c>
      <x:c r="P252" s="14" t="n">
        <x:f>J252*K252</x:f>
        <x:v>1198</x:v>
      </x:c>
      <x:c r="Q252" s="14" t="n">
        <x:f>P252*(1-L252)</x:f>
        <x:v>1198</x:v>
      </x:c>
      <x:c r="R252" s="14" t="n">
        <x:f>Q252*(0.24+MOD(ROW(),7)*0.005)</x:f>
        <x:v>287.52</x:v>
      </x:c>
    </x:row>
    <x:row r="253">
      <x:c r="A253" s="12" t="n">
        <x:v>46262</x:v>
      </x:c>
      <x:c r="B253" t="str">
        <x:v>EC26-0252</x:v>
      </x:c>
      <x:c r="C253" t="str">
        <x:v>Telangana</x:v>
      </x:c>
      <x:c r="D253" t="str">
        <x:v>Hyderabad</x:v>
      </x:c>
      <x:c r="E253" t="str">
        <x:v>Grocery</x:v>
      </x:c>
      <x:c r="F253" t="str">
        <x:v>Protein Bars</x:v>
      </x:c>
      <x:c r="G253" t="str">
        <x:v>Corporate</x:v>
      </x:c>
      <x:c r="H253" t="str">
        <x:v>Mobile App</x:v>
      </x:c>
      <x:c r="I253" t="str">
        <x:v>Wallet</x:v>
      </x:c>
      <x:c r="J253" t="n">
        <x:v>3</x:v>
      </x:c>
      <x:c r="K253" s="14" t="n">
        <x:v>899</x:v>
      </x:c>
      <x:c r="L253" s="16" t="n">
        <x:v>0.02</x:v>
      </x:c>
      <x:c r="M253" t="str">
        <x:v>Aarav</x:v>
      </x:c>
      <x:c r="N253" t="n">
        <x:v>1</x:v>
      </x:c>
      <x:c r="O253" s="18" t="n">
        <x:v>4.5</x:v>
      </x:c>
      <x:c r="P253" s="14" t="n">
        <x:f>J253*K253</x:f>
        <x:v>2697</x:v>
      </x:c>
      <x:c r="Q253" s="14" t="n">
        <x:f>P253*(1-L253)</x:f>
        <x:v>2643.06</x:v>
      </x:c>
      <x:c r="R253" s="14" t="n">
        <x:f>Q253*(0.24+MOD(ROW(),7)*0.005)</x:f>
        <x:v>647.5497</x:v>
      </x:c>
    </x:row>
    <x:row r="254">
      <x:c r="A254" s="12" t="n">
        <x:v>46305</x:v>
      </x:c>
      <x:c r="B254" t="str">
        <x:v>EC26-0253</x:v>
      </x:c>
      <x:c r="C254" t="str">
        <x:v>Telangana</x:v>
      </x:c>
      <x:c r="D254" t="str">
        <x:v>Hyderabad</x:v>
      </x:c>
      <x:c r="E254" t="str">
        <x:v>Grocery</x:v>
      </x:c>
      <x:c r="F254" t="str">
        <x:v>Dry Fruits Pack</x:v>
      </x:c>
      <x:c r="G254" t="str">
        <x:v>Consumer</x:v>
      </x:c>
      <x:c r="H254" t="str">
        <x:v>Mobile App</x:v>
      </x:c>
      <x:c r="I254" t="str">
        <x:v>Wallet</x:v>
      </x:c>
      <x:c r="J254" t="n">
        <x:v>2</x:v>
      </x:c>
      <x:c r="K254" s="14" t="n">
        <x:v>999</x:v>
      </x:c>
      <x:c r="L254" s="16" t="n">
        <x:v>0.1</x:v>
      </x:c>
      <x:c r="M254" t="str">
        <x:v>Simran</x:v>
      </x:c>
      <x:c r="N254" t="n">
        <x:v>6</x:v>
      </x:c>
      <x:c r="O254" s="18" t="n">
        <x:v>5</x:v>
      </x:c>
      <x:c r="P254" s="14" t="n">
        <x:f>J254*K254</x:f>
        <x:v>1998</x:v>
      </x:c>
      <x:c r="Q254" s="14" t="n">
        <x:f>P254*(1-L254)</x:f>
        <x:v>1798.2</x:v>
      </x:c>
      <x:c r="R254" s="14" t="n">
        <x:f>Q254*(0.24+MOD(ROW(),7)*0.005)</x:f>
        <x:v>449.55</x:v>
      </x:c>
    </x:row>
    <x:row r="255">
      <x:c r="A255" s="12" t="n">
        <x:v>46178</x:v>
      </x:c>
      <x:c r="B255" t="str">
        <x:v>EC26-0254</x:v>
      </x:c>
      <x:c r="C255" t="str">
        <x:v>Tamil Nadu</x:v>
      </x:c>
      <x:c r="D255" t="str">
        <x:v>Chennai</x:v>
      </x:c>
      <x:c r="E255" t="str">
        <x:v>Grocery</x:v>
      </x:c>
      <x:c r="F255" t="str">
        <x:v>Protein Bars</x:v>
      </x:c>
      <x:c r="G255" t="str">
        <x:v>Corporate</x:v>
      </x:c>
      <x:c r="H255" t="str">
        <x:v>Mobile App</x:v>
      </x:c>
      <x:c r="I255" t="str">
        <x:v>UPI</x:v>
      </x:c>
      <x:c r="J255" t="n">
        <x:v>5</x:v>
      </x:c>
      <x:c r="K255" s="14" t="n">
        <x:v>899</x:v>
      </x:c>
      <x:c r="L255" s="16" t="n">
        <x:v>0.15</x:v>
      </x:c>
      <x:c r="M255" t="str">
        <x:v>Kabir</x:v>
      </x:c>
      <x:c r="N255" t="n">
        <x:v>3</x:v>
      </x:c>
      <x:c r="O255" s="18" t="n">
        <x:v>3.5</x:v>
      </x:c>
      <x:c r="P255" s="14" t="n">
        <x:f>J255*K255</x:f>
        <x:v>4495</x:v>
      </x:c>
      <x:c r="Q255" s="14" t="n">
        <x:f>P255*(1-L255)</x:f>
        <x:v>3820.75</x:v>
      </x:c>
      <x:c r="R255" s="14" t="n">
        <x:f>Q255*(0.24+MOD(ROW(),7)*0.005)</x:f>
        <x:v>974.29125</x:v>
      </x:c>
    </x:row>
    <x:row r="256">
      <x:c r="A256" s="12" t="n">
        <x:v>46239</x:v>
      </x:c>
      <x:c r="B256" t="str">
        <x:v>EC26-0255</x:v>
      </x:c>
      <x:c r="C256" t="str">
        <x:v>Maharashtra</x:v>
      </x:c>
      <x:c r="D256" t="str">
        <x:v>Mumbai</x:v>
      </x:c>
      <x:c r="E256" t="str">
        <x:v>Beauty</x:v>
      </x:c>
      <x:c r="F256" t="str">
        <x:v>Perfume</x:v>
      </x:c>
      <x:c r="G256" t="str">
        <x:v>Corporate</x:v>
      </x:c>
      <x:c r="H256" t="str">
        <x:v>Mobile App</x:v>
      </x:c>
      <x:c r="I256" t="str">
        <x:v>Credit Card</x:v>
      </x:c>
      <x:c r="J256" t="n">
        <x:v>4</x:v>
      </x:c>
      <x:c r="K256" s="14" t="n">
        <x:v>2499</x:v>
      </x:c>
      <x:c r="L256" s="16" t="n">
        <x:v>0.1</x:v>
      </x:c>
      <x:c r="M256" t="str">
        <x:v>Simran</x:v>
      </x:c>
      <x:c r="N256" t="n">
        <x:v>2</x:v>
      </x:c>
      <x:c r="O256" s="18" t="n">
        <x:v>4.5</x:v>
      </x:c>
      <x:c r="P256" s="14" t="n">
        <x:f>J256*K256</x:f>
        <x:v>9996</x:v>
      </x:c>
      <x:c r="Q256" s="14" t="n">
        <x:f>P256*(1-L256)</x:f>
        <x:v>8996.4</x:v>
      </x:c>
      <x:c r="R256" s="14" t="n">
        <x:f>Q256*(0.24+MOD(ROW(),7)*0.005)</x:f>
        <x:v>2339.064</x:v>
      </x:c>
    </x:row>
    <x:row r="257">
      <x:c r="A257" s="12" t="n">
        <x:v>46046</x:v>
      </x:c>
      <x:c r="B257" t="str">
        <x:v>EC26-0256</x:v>
      </x:c>
      <x:c r="C257" t="str">
        <x:v>Telangana</x:v>
      </x:c>
      <x:c r="D257" t="str">
        <x:v>Hyderabad</x:v>
      </x:c>
      <x:c r="E257" t="str">
        <x:v>Beauty</x:v>
      </x:c>
      <x:c r="F257" t="str">
        <x:v>Face Serum</x:v>
      </x:c>
      <x:c r="G257" t="str">
        <x:v>Corporate</x:v>
      </x:c>
      <x:c r="H257" t="str">
        <x:v>Website</x:v>
      </x:c>
      <x:c r="I257" t="str">
        <x:v>Credit Card</x:v>
      </x:c>
      <x:c r="J257" t="n">
        <x:v>2</x:v>
      </x:c>
      <x:c r="K257" s="14" t="n">
        <x:v>799</x:v>
      </x:c>
      <x:c r="L257" s="16" t="n">
        <x:v>0.07</x:v>
      </x:c>
      <x:c r="M257" t="str">
        <x:v>Anaya</x:v>
      </x:c>
      <x:c r="N257" t="n">
        <x:v>3</x:v>
      </x:c>
      <x:c r="O257" s="18" t="n">
        <x:v>4</x:v>
      </x:c>
      <x:c r="P257" s="14" t="n">
        <x:f>J257*K257</x:f>
        <x:v>1598</x:v>
      </x:c>
      <x:c r="Q257" s="14" t="n">
        <x:f>P257*(1-L257)</x:f>
        <x:v>1486.1399999999999</x:v>
      </x:c>
      <x:c r="R257" s="14" t="n">
        <x:f>Q257*(0.24+MOD(ROW(),7)*0.005)</x:f>
        <x:v>393.8271</x:v>
      </x:c>
    </x:row>
    <x:row r="258">
      <x:c r="A258" s="12" t="n">
        <x:v>46329</x:v>
      </x:c>
      <x:c r="B258" t="str">
        <x:v>EC26-0257</x:v>
      </x:c>
      <x:c r="C258" t="str">
        <x:v>Madhya Pradesh</x:v>
      </x:c>
      <x:c r="D258" t="str">
        <x:v>Indore</x:v>
      </x:c>
      <x:c r="E258" t="str">
        <x:v>Grocery</x:v>
      </x:c>
      <x:c r="F258" t="str">
        <x:v>Protein Bars</x:v>
      </x:c>
      <x:c r="G258" t="str">
        <x:v>Consumer</x:v>
      </x:c>
      <x:c r="H258" t="str">
        <x:v>Mobile App</x:v>
      </x:c>
      <x:c r="I258" t="str">
        <x:v>Credit Card</x:v>
      </x:c>
      <x:c r="J258" t="n">
        <x:v>2</x:v>
      </x:c>
      <x:c r="K258" s="14" t="n">
        <x:v>899</x:v>
      </x:c>
      <x:c r="L258" s="16" t="n">
        <x:v>0.1</x:v>
      </x:c>
      <x:c r="M258" t="str">
        <x:v>Kabir</x:v>
      </x:c>
      <x:c r="N258" t="n">
        <x:v>6</x:v>
      </x:c>
      <x:c r="O258" s="18" t="n">
        <x:v>4.5</x:v>
      </x:c>
      <x:c r="P258" s="14" t="n">
        <x:f>J258*K258</x:f>
        <x:v>1798</x:v>
      </x:c>
      <x:c r="Q258" s="14" t="n">
        <x:f>P258*(1-L258)</x:f>
        <x:v>1618.2</x:v>
      </x:c>
      <x:c r="R258" s="14" t="n">
        <x:f>Q258*(0.24+MOD(ROW(),7)*0.005)</x:f>
        <x:v>436.91400000000004</x:v>
      </x:c>
    </x:row>
    <x:row r="259">
      <x:c r="A259" s="12" t="n">
        <x:v>46170</x:v>
      </x:c>
      <x:c r="B259" t="str">
        <x:v>EC26-0258</x:v>
      </x:c>
      <x:c r="C259" t="str">
        <x:v>Kerala</x:v>
      </x:c>
      <x:c r="D259" t="str">
        <x:v>Kochi</x:v>
      </x:c>
      <x:c r="E259" t="str">
        <x:v>Fashion</x:v>
      </x:c>
      <x:c r="F259" t="str">
        <x:v>Running Shoes</x:v>
      </x:c>
      <x:c r="G259" t="str">
        <x:v>Small Business</x:v>
      </x:c>
      <x:c r="H259" t="str">
        <x:v>Website</x:v>
      </x:c>
      <x:c r="I259" t="str">
        <x:v>COD</x:v>
      </x:c>
      <x:c r="J259" t="n">
        <x:v>2</x:v>
      </x:c>
      <x:c r="K259" s="14" t="n">
        <x:v>3499</x:v>
      </x:c>
      <x:c r="L259" s="16" t="n">
        <x:v>0.15</x:v>
      </x:c>
      <x:c r="M259" t="str">
        <x:v>Anaya</x:v>
      </x:c>
      <x:c r="N259" t="n">
        <x:v>3</x:v>
      </x:c>
      <x:c r="O259" s="18" t="n">
        <x:v>5</x:v>
      </x:c>
      <x:c r="P259" s="14" t="n">
        <x:f>J259*K259</x:f>
        <x:v>6998</x:v>
      </x:c>
      <x:c r="Q259" s="14" t="n">
        <x:f>P259*(1-L259)</x:f>
        <x:v>5948.3</x:v>
      </x:c>
      <x:c r="R259" s="14" t="n">
        <x:f>Q259*(0.24+MOD(ROW(),7)*0.005)</x:f>
        <x:v>1427.592</x:v>
      </x:c>
    </x:row>
    <x:row r="260">
      <x:c r="A260" s="12" t="n">
        <x:v>46316</x:v>
      </x:c>
      <x:c r="B260" t="str">
        <x:v>EC26-0259</x:v>
      </x:c>
      <x:c r="C260" t="str">
        <x:v>Madhya Pradesh</x:v>
      </x:c>
      <x:c r="D260" t="str">
        <x:v>Indore</x:v>
      </x:c>
      <x:c r="E260" t="str">
        <x:v>Fashion</x:v>
      </x:c>
      <x:c r="F260" t="str">
        <x:v>Sneakers</x:v>
      </x:c>
      <x:c r="G260" t="str">
        <x:v>Corporate</x:v>
      </x:c>
      <x:c r="H260" t="str">
        <x:v>Marketplace</x:v>
      </x:c>
      <x:c r="I260" t="str">
        <x:v>Debit Card</x:v>
      </x:c>
      <x:c r="J260" t="n">
        <x:v>2</x:v>
      </x:c>
      <x:c r="K260" s="14" t="n">
        <x:v>2799</x:v>
      </x:c>
      <x:c r="L260" s="16" t="n">
        <x:v>0.12</x:v>
      </x:c>
      <x:c r="M260" t="str">
        <x:v>Kabir</x:v>
      </x:c>
      <x:c r="N260" t="n">
        <x:v>2</x:v>
      </x:c>
      <x:c r="O260" s="18" t="n">
        <x:v>5</x:v>
      </x:c>
      <x:c r="P260" s="14" t="n">
        <x:f>J260*K260</x:f>
        <x:v>5598</x:v>
      </x:c>
      <x:c r="Q260" s="14" t="n">
        <x:f>P260*(1-L260)</x:f>
        <x:v>4926.24</x:v>
      </x:c>
      <x:c r="R260" s="14" t="n">
        <x:f>Q260*(0.24+MOD(ROW(),7)*0.005)</x:f>
        <x:v>1206.9288</x:v>
      </x:c>
    </x:row>
    <x:row r="261">
      <x:c r="A261" s="12" t="n">
        <x:v>46198</x:v>
      </x:c>
      <x:c r="B261" t="str">
        <x:v>EC26-0260</x:v>
      </x:c>
      <x:c r="C261" t="str">
        <x:v>Maharashtra</x:v>
      </x:c>
      <x:c r="D261" t="str">
        <x:v>Mumbai</x:v>
      </x:c>
      <x:c r="E261" t="str">
        <x:v>Home</x:v>
      </x:c>
      <x:c r="F261" t="str">
        <x:v>Bedsheet Set</x:v>
      </x:c>
      <x:c r="G261" t="str">
        <x:v>Small Business</x:v>
      </x:c>
      <x:c r="H261" t="str">
        <x:v>Mobile App</x:v>
      </x:c>
      <x:c r="I261" t="str">
        <x:v>COD</x:v>
      </x:c>
      <x:c r="J261" t="n">
        <x:v>3</x:v>
      </x:c>
      <x:c r="K261" s="14" t="n">
        <x:v>1499</x:v>
      </x:c>
      <x:c r="L261" s="16" t="n">
        <x:v>0</x:v>
      </x:c>
      <x:c r="M261" t="str">
        <x:v>Aarav</x:v>
      </x:c>
      <x:c r="N261" t="n">
        <x:v>3</x:v>
      </x:c>
      <x:c r="O261" s="18" t="n">
        <x:v>4</x:v>
      </x:c>
      <x:c r="P261" s="14" t="n">
        <x:f>J261*K261</x:f>
        <x:v>4497</x:v>
      </x:c>
      <x:c r="Q261" s="14" t="n">
        <x:f>P261*(1-L261)</x:f>
        <x:v>4497</x:v>
      </x:c>
      <x:c r="R261" s="14" t="n">
        <x:f>Q261*(0.24+MOD(ROW(),7)*0.005)</x:f>
        <x:v>1124.25</x:v>
      </x:c>
    </x:row>
    <x:row r="262">
      <x:c r="A262" s="12" t="n">
        <x:v>46306</x:v>
      </x:c>
      <x:c r="B262" t="str">
        <x:v>EC26-0261</x:v>
      </x:c>
      <x:c r="C262" t="str">
        <x:v>Karnataka</x:v>
      </x:c>
      <x:c r="D262" t="str">
        <x:v>Bengaluru</x:v>
      </x:c>
      <x:c r="E262" t="str">
        <x:v>Beauty</x:v>
      </x:c>
      <x:c r="F262" t="str">
        <x:v>Hair Dryer</x:v>
      </x:c>
      <x:c r="G262" t="str">
        <x:v>Small Business</x:v>
      </x:c>
      <x:c r="H262" t="str">
        <x:v>Website</x:v>
      </x:c>
      <x:c r="I262" t="str">
        <x:v>Wallet</x:v>
      </x:c>
      <x:c r="J262" t="n">
        <x:v>3</x:v>
      </x:c>
      <x:c r="K262" s="14" t="n">
        <x:v>1899</x:v>
      </x:c>
      <x:c r="L262" s="16" t="n">
        <x:v>0.07</x:v>
      </x:c>
      <x:c r="M262" t="str">
        <x:v>Simran</x:v>
      </x:c>
      <x:c r="N262" t="n">
        <x:v>3</x:v>
      </x:c>
      <x:c r="O262" s="18" t="n">
        <x:v>5</x:v>
      </x:c>
      <x:c r="P262" s="14" t="n">
        <x:f>J262*K262</x:f>
        <x:v>5697</x:v>
      </x:c>
      <x:c r="Q262" s="14" t="n">
        <x:f>P262*(1-L262)</x:f>
        <x:v>5298.21</x:v>
      </x:c>
      <x:c r="R262" s="14" t="n">
        <x:f>Q262*(0.24+MOD(ROW(),7)*0.005)</x:f>
        <x:v>1351.04355</x:v>
      </x:c>
    </x:row>
    <x:row r="263">
      <x:c r="A263" s="12" t="n">
        <x:v>46074</x:v>
      </x:c>
      <x:c r="B263" t="str">
        <x:v>EC26-0262</x:v>
      </x:c>
      <x:c r="C263" t="str">
        <x:v>Punjab</x:v>
      </x:c>
      <x:c r="D263" t="str">
        <x:v>Ludhiana</x:v>
      </x:c>
      <x:c r="E263" t="str">
        <x:v>Beauty</x:v>
      </x:c>
      <x:c r="F263" t="str">
        <x:v>Hair Dryer</x:v>
      </x:c>
      <x:c r="G263" t="str">
        <x:v>Corporate</x:v>
      </x:c>
      <x:c r="H263" t="str">
        <x:v>Marketplace</x:v>
      </x:c>
      <x:c r="I263" t="str">
        <x:v>UPI</x:v>
      </x:c>
      <x:c r="J263" t="n">
        <x:v>1</x:v>
      </x:c>
      <x:c r="K263" s="14" t="n">
        <x:v>1899</x:v>
      </x:c>
      <x:c r="L263" s="16" t="n">
        <x:v>0</x:v>
      </x:c>
      <x:c r="M263" t="str">
        <x:v>Aarav</x:v>
      </x:c>
      <x:c r="N263" t="n">
        <x:v>2</x:v>
      </x:c>
      <x:c r="O263" s="18" t="n">
        <x:v>4</x:v>
      </x:c>
      <x:c r="P263" s="14" t="n">
        <x:f>J263*K263</x:f>
        <x:v>1899</x:v>
      </x:c>
      <x:c r="Q263" s="14" t="n">
        <x:f>P263*(1-L263)</x:f>
        <x:v>1899</x:v>
      </x:c>
      <x:c r="R263" s="14" t="n">
        <x:f>Q263*(0.24+MOD(ROW(),7)*0.005)</x:f>
        <x:v>493.74</x:v>
      </x:c>
    </x:row>
    <x:row r="264">
      <x:c r="A264" s="12" t="n">
        <x:v>46118</x:v>
      </x:c>
      <x:c r="B264" t="str">
        <x:v>EC26-0263</x:v>
      </x:c>
      <x:c r="C264" t="str">
        <x:v>Telangana</x:v>
      </x:c>
      <x:c r="D264" t="str">
        <x:v>Hyderabad</x:v>
      </x:c>
      <x:c r="E264" t="str">
        <x:v>Beauty</x:v>
      </x:c>
      <x:c r="F264" t="str">
        <x:v>Makeup Set</x:v>
      </x:c>
      <x:c r="G264" t="str">
        <x:v>Consumer</x:v>
      </x:c>
      <x:c r="H264" t="str">
        <x:v>Website</x:v>
      </x:c>
      <x:c r="I264" t="str">
        <x:v>Debit Card</x:v>
      </x:c>
      <x:c r="J264" t="n">
        <x:v>2</x:v>
      </x:c>
      <x:c r="K264" s="14" t="n">
        <x:v>1599</x:v>
      </x:c>
      <x:c r="L264" s="16" t="n">
        <x:v>0.02</x:v>
      </x:c>
      <x:c r="M264" t="str">
        <x:v>Aarav</x:v>
      </x:c>
      <x:c r="N264" t="n">
        <x:v>2</x:v>
      </x:c>
      <x:c r="O264" s="18" t="n">
        <x:v>4.5</x:v>
      </x:c>
      <x:c r="P264" s="14" t="n">
        <x:f>J264*K264</x:f>
        <x:v>3198</x:v>
      </x:c>
      <x:c r="Q264" s="14" t="n">
        <x:f>P264*(1-L264)</x:f>
        <x:v>3134.04</x:v>
      </x:c>
      <x:c r="R264" s="14" t="n">
        <x:f>Q264*(0.24+MOD(ROW(),7)*0.005)</x:f>
        <x:v>830.5206000000001</x:v>
      </x:c>
    </x:row>
    <x:row r="265">
      <x:c r="A265" s="12" t="n">
        <x:v>46274</x:v>
      </x:c>
      <x:c r="B265" t="str">
        <x:v>EC26-0264</x:v>
      </x:c>
      <x:c r="C265" t="str">
        <x:v>Madhya Pradesh</x:v>
      </x:c>
      <x:c r="D265" t="str">
        <x:v>Indore</x:v>
      </x:c>
      <x:c r="E265" t="str">
        <x:v>Beauty</x:v>
      </x:c>
      <x:c r="F265" t="str">
        <x:v>Skincare Kit</x:v>
      </x:c>
      <x:c r="G265" t="str">
        <x:v>Small Business</x:v>
      </x:c>
      <x:c r="H265" t="str">
        <x:v>Mobile App</x:v>
      </x:c>
      <x:c r="I265" t="str">
        <x:v>Wallet</x:v>
      </x:c>
      <x:c r="J265" t="n">
        <x:v>2</x:v>
      </x:c>
      <x:c r="K265" s="14" t="n">
        <x:v>1299</x:v>
      </x:c>
      <x:c r="L265" s="16" t="n">
        <x:v>0.1</x:v>
      </x:c>
      <x:c r="M265" t="str">
        <x:v>Ishita</x:v>
      </x:c>
      <x:c r="N265" t="n">
        <x:v>1</x:v>
      </x:c>
      <x:c r="O265" s="18" t="n">
        <x:v>3.5</x:v>
      </x:c>
      <x:c r="P265" s="14" t="n">
        <x:f>J265*K265</x:f>
        <x:v>2598</x:v>
      </x:c>
      <x:c r="Q265" s="14" t="n">
        <x:f>P265*(1-L265)</x:f>
        <x:v>2338.2000000000003</x:v>
      </x:c>
      <x:c r="R265" s="14" t="n">
        <x:f>Q265*(0.24+MOD(ROW(),7)*0.005)</x:f>
        <x:v>631.3140000000001</x:v>
      </x:c>
    </x:row>
    <x:row r="266">
      <x:c r="A266" s="12" t="n">
        <x:v>46281</x:v>
      </x:c>
      <x:c r="B266" t="str">
        <x:v>EC26-0265</x:v>
      </x:c>
      <x:c r="C266" t="str">
        <x:v>Karnataka</x:v>
      </x:c>
      <x:c r="D266" t="str">
        <x:v>Bengaluru</x:v>
      </x:c>
      <x:c r="E266" t="str">
        <x:v>Electronics</x:v>
      </x:c>
      <x:c r="F266" t="str">
        <x:v>Smartwatch</x:v>
      </x:c>
      <x:c r="G266" t="str">
        <x:v>Consumer</x:v>
      </x:c>
      <x:c r="H266" t="str">
        <x:v>Marketplace</x:v>
      </x:c>
      <x:c r="I266" t="str">
        <x:v>Credit Card</x:v>
      </x:c>
      <x:c r="J266" t="n">
        <x:v>5</x:v>
      </x:c>
      <x:c r="K266" s="14" t="n">
        <x:v>3999</x:v>
      </x:c>
      <x:c r="L266" s="16" t="n">
        <x:v>0.02</x:v>
      </x:c>
      <x:c r="M266" t="str">
        <x:v>Aarav</x:v>
      </x:c>
      <x:c r="N266" t="n">
        <x:v>3</x:v>
      </x:c>
      <x:c r="O266" s="18" t="n">
        <x:v>5</x:v>
      </x:c>
      <x:c r="P266" s="14" t="n">
        <x:f>J266*K266</x:f>
        <x:v>19995</x:v>
      </x:c>
      <x:c r="Q266" s="14" t="n">
        <x:f>P266*(1-L266)</x:f>
        <x:v>19595.1</x:v>
      </x:c>
      <x:c r="R266" s="14" t="n">
        <x:f>Q266*(0.24+MOD(ROW(),7)*0.005)</x:f>
        <x:v>4702.824</x:v>
      </x:c>
    </x:row>
    <x:row r="267">
      <x:c r="A267" s="12" t="n">
        <x:v>46278</x:v>
      </x:c>
      <x:c r="B267" t="str">
        <x:v>EC26-0266</x:v>
      </x:c>
      <x:c r="C267" t="str">
        <x:v>West Bengal</x:v>
      </x:c>
      <x:c r="D267" t="str">
        <x:v>Kolkata</x:v>
      </x:c>
      <x:c r="E267" t="str">
        <x:v>Electronics</x:v>
      </x:c>
      <x:c r="F267" t="str">
        <x:v>Smartwatch</x:v>
      </x:c>
      <x:c r="G267" t="str">
        <x:v>Corporate</x:v>
      </x:c>
      <x:c r="H267" t="str">
        <x:v>Website</x:v>
      </x:c>
      <x:c r="I267" t="str">
        <x:v>Wallet</x:v>
      </x:c>
      <x:c r="J267" t="n">
        <x:v>3</x:v>
      </x:c>
      <x:c r="K267" s="14" t="n">
        <x:v>3999</x:v>
      </x:c>
      <x:c r="L267" s="16" t="n">
        <x:v>0.07</x:v>
      </x:c>
      <x:c r="M267" t="str">
        <x:v>Anaya</x:v>
      </x:c>
      <x:c r="N267" t="n">
        <x:v>5</x:v>
      </x:c>
      <x:c r="O267" s="18" t="n">
        <x:v>5</x:v>
      </x:c>
      <x:c r="P267" s="14" t="n">
        <x:f>J267*K267</x:f>
        <x:v>11997</x:v>
      </x:c>
      <x:c r="Q267" s="14" t="n">
        <x:f>P267*(1-L267)</x:f>
        <x:v>11157.21</x:v>
      </x:c>
      <x:c r="R267" s="14" t="n">
        <x:f>Q267*(0.24+MOD(ROW(),7)*0.005)</x:f>
        <x:v>2733.5164499999996</x:v>
      </x:c>
    </x:row>
    <x:row r="268">
      <x:c r="A268" s="12" t="n">
        <x:v>46111</x:v>
      </x:c>
      <x:c r="B268" t="str">
        <x:v>EC26-0267</x:v>
      </x:c>
      <x:c r="C268" t="str">
        <x:v>Maharashtra</x:v>
      </x:c>
      <x:c r="D268" t="str">
        <x:v>Mumbai</x:v>
      </x:c>
      <x:c r="E268" t="str">
        <x:v>Home</x:v>
      </x:c>
      <x:c r="F268" t="str">
        <x:v>LED Lamp</x:v>
      </x:c>
      <x:c r="G268" t="str">
        <x:v>Consumer</x:v>
      </x:c>
      <x:c r="H268" t="str">
        <x:v>Website</x:v>
      </x:c>
      <x:c r="I268" t="str">
        <x:v>COD</x:v>
      </x:c>
      <x:c r="J268" t="n">
        <x:v>3</x:v>
      </x:c>
      <x:c r="K268" s="14" t="n">
        <x:v>899</x:v>
      </x:c>
      <x:c r="L268" s="16" t="n">
        <x:v>0.02</x:v>
      </x:c>
      <x:c r="M268" t="str">
        <x:v>Ishita</x:v>
      </x:c>
      <x:c r="N268" t="n">
        <x:v>3</x:v>
      </x:c>
      <x:c r="O268" s="18" t="n">
        <x:v>3.5</x:v>
      </x:c>
      <x:c r="P268" s="14" t="n">
        <x:f>J268*K268</x:f>
        <x:v>2697</x:v>
      </x:c>
      <x:c r="Q268" s="14" t="n">
        <x:f>P268*(1-L268)</x:f>
        <x:v>2643.06</x:v>
      </x:c>
      <x:c r="R268" s="14" t="n">
        <x:f>Q268*(0.24+MOD(ROW(),7)*0.005)</x:f>
        <x:v>660.765</x:v>
      </x:c>
    </x:row>
    <x:row r="269">
      <x:c r="A269" s="12" t="n">
        <x:v>46182</x:v>
      </x:c>
      <x:c r="B269" t="str">
        <x:v>EC26-0268</x:v>
      </x:c>
      <x:c r="C269" t="str">
        <x:v>Tamil Nadu</x:v>
      </x:c>
      <x:c r="D269" t="str">
        <x:v>Chennai</x:v>
      </x:c>
      <x:c r="E269" t="str">
        <x:v>Fashion</x:v>
      </x:c>
      <x:c r="F269" t="str">
        <x:v>Backpack</x:v>
      </x:c>
      <x:c r="G269" t="str">
        <x:v>Consumer</x:v>
      </x:c>
      <x:c r="H269" t="str">
        <x:v>Website</x:v>
      </x:c>
      <x:c r="I269" t="str">
        <x:v>UPI</x:v>
      </x:c>
      <x:c r="J269" t="n">
        <x:v>1</x:v>
      </x:c>
      <x:c r="K269" s="14" t="n">
        <x:v>1799</x:v>
      </x:c>
      <x:c r="L269" s="16" t="n">
        <x:v>0.15</x:v>
      </x:c>
      <x:c r="M269" t="str">
        <x:v>Kabir</x:v>
      </x:c>
      <x:c r="N269" t="n">
        <x:v>2</x:v>
      </x:c>
      <x:c r="O269" s="18" t="n">
        <x:v>5</x:v>
      </x:c>
      <x:c r="P269" s="14" t="n">
        <x:f>J269*K269</x:f>
        <x:v>1799</x:v>
      </x:c>
      <x:c r="Q269" s="14" t="n">
        <x:f>P269*(1-L269)</x:f>
        <x:v>1529.1499999999999</x:v>
      </x:c>
      <x:c r="R269" s="14" t="n">
        <x:f>Q269*(0.24+MOD(ROW(),7)*0.005)</x:f>
        <x:v>389.93325</x:v>
      </x:c>
    </x:row>
    <x:row r="270">
      <x:c r="A270" s="12" t="n">
        <x:v>46048</x:v>
      </x:c>
      <x:c r="B270" t="str">
        <x:v>EC26-0269</x:v>
      </x:c>
      <x:c r="C270" t="str">
        <x:v>Punjab</x:v>
      </x:c>
      <x:c r="D270" t="str">
        <x:v>Ludhiana</x:v>
      </x:c>
      <x:c r="E270" t="str">
        <x:v>Beauty</x:v>
      </x:c>
      <x:c r="F270" t="str">
        <x:v>Perfume</x:v>
      </x:c>
      <x:c r="G270" t="str">
        <x:v>Consumer</x:v>
      </x:c>
      <x:c r="H270" t="str">
        <x:v>Website</x:v>
      </x:c>
      <x:c r="I270" t="str">
        <x:v>Debit Card</x:v>
      </x:c>
      <x:c r="J270" t="n">
        <x:v>3</x:v>
      </x:c>
      <x:c r="K270" s="14" t="n">
        <x:v>2499</x:v>
      </x:c>
      <x:c r="L270" s="16" t="n">
        <x:v>0</x:v>
      </x:c>
      <x:c r="M270" t="str">
        <x:v>Simran</x:v>
      </x:c>
      <x:c r="N270" t="n">
        <x:v>6</x:v>
      </x:c>
      <x:c r="O270" s="18" t="n">
        <x:v>4.5</x:v>
      </x:c>
      <x:c r="P270" s="14" t="n">
        <x:f>J270*K270</x:f>
        <x:v>7497</x:v>
      </x:c>
      <x:c r="Q270" s="14" t="n">
        <x:f>P270*(1-L270)</x:f>
        <x:v>7497</x:v>
      </x:c>
      <x:c r="R270" s="14" t="n">
        <x:f>Q270*(0.24+MOD(ROW(),7)*0.005)</x:f>
        <x:v>1949.22</x:v>
      </x:c>
    </x:row>
    <x:row r="271">
      <x:c r="A271" s="12" t="n">
        <x:v>46142</x:v>
      </x:c>
      <x:c r="B271" t="str">
        <x:v>EC26-0270</x:v>
      </x:c>
      <x:c r="C271" t="str">
        <x:v>Punjab</x:v>
      </x:c>
      <x:c r="D271" t="str">
        <x:v>Ludhiana</x:v>
      </x:c>
      <x:c r="E271" t="str">
        <x:v>Fashion</x:v>
      </x:c>
      <x:c r="F271" t="str">
        <x:v>Sneakers</x:v>
      </x:c>
      <x:c r="G271" t="str">
        <x:v>Consumer</x:v>
      </x:c>
      <x:c r="H271" t="str">
        <x:v>Mobile App</x:v>
      </x:c>
      <x:c r="I271" t="str">
        <x:v>UPI</x:v>
      </x:c>
      <x:c r="J271" t="n">
        <x:v>1</x:v>
      </x:c>
      <x:c r="K271" s="14" t="n">
        <x:v>2799</x:v>
      </x:c>
      <x:c r="L271" s="16" t="n">
        <x:v>0.15</x:v>
      </x:c>
      <x:c r="M271" t="str">
        <x:v>Ishita</x:v>
      </x:c>
      <x:c r="N271" t="n">
        <x:v>3</x:v>
      </x:c>
      <x:c r="O271" s="18" t="n">
        <x:v>4</x:v>
      </x:c>
      <x:c r="P271" s="14" t="n">
        <x:f>J271*K271</x:f>
        <x:v>2799</x:v>
      </x:c>
      <x:c r="Q271" s="14" t="n">
        <x:f>P271*(1-L271)</x:f>
        <x:v>2379.15</x:v>
      </x:c>
      <x:c r="R271" s="14" t="n">
        <x:f>Q271*(0.24+MOD(ROW(),7)*0.005)</x:f>
        <x:v>630.4747500000001</x:v>
      </x:c>
    </x:row>
    <x:row r="272">
      <x:c r="A272" s="12" t="n">
        <x:v>46236</x:v>
      </x:c>
      <x:c r="B272" t="str">
        <x:v>EC26-0271</x:v>
      </x:c>
      <x:c r="C272" t="str">
        <x:v>Karnataka</x:v>
      </x:c>
      <x:c r="D272" t="str">
        <x:v>Bengaluru</x:v>
      </x:c>
      <x:c r="E272" t="str">
        <x:v>Fashion</x:v>
      </x:c>
      <x:c r="F272" t="str">
        <x:v>Backpack</x:v>
      </x:c>
      <x:c r="G272" t="str">
        <x:v>Corporate</x:v>
      </x:c>
      <x:c r="H272" t="str">
        <x:v>Marketplace</x:v>
      </x:c>
      <x:c r="I272" t="str">
        <x:v>UPI</x:v>
      </x:c>
      <x:c r="J272" t="n">
        <x:v>1</x:v>
      </x:c>
      <x:c r="K272" s="14" t="n">
        <x:v>1799</x:v>
      </x:c>
      <x:c r="L272" s="16" t="n">
        <x:v>0.02</x:v>
      </x:c>
      <x:c r="M272" t="str">
        <x:v>Meera</x:v>
      </x:c>
      <x:c r="N272" t="n">
        <x:v>4</x:v>
      </x:c>
      <x:c r="O272" s="18" t="n">
        <x:v>4.5</x:v>
      </x:c>
      <x:c r="P272" s="14" t="n">
        <x:f>J272*K272</x:f>
        <x:v>1799</x:v>
      </x:c>
      <x:c r="Q272" s="14" t="n">
        <x:f>P272*(1-L272)</x:f>
        <x:v>1763.02</x:v>
      </x:c>
      <x:c r="R272" s="14" t="n">
        <x:f>Q272*(0.24+MOD(ROW(),7)*0.005)</x:f>
        <x:v>476.0154</x:v>
      </x:c>
    </x:row>
    <x:row r="273">
      <x:c r="A273" s="12" t="n">
        <x:v>46085</x:v>
      </x:c>
      <x:c r="B273" t="str">
        <x:v>EC26-0272</x:v>
      </x:c>
      <x:c r="C273" t="str">
        <x:v>Telangana</x:v>
      </x:c>
      <x:c r="D273" t="str">
        <x:v>Hyderabad</x:v>
      </x:c>
      <x:c r="E273" t="str">
        <x:v>Beauty</x:v>
      </x:c>
      <x:c r="F273" t="str">
        <x:v>Hair Dryer</x:v>
      </x:c>
      <x:c r="G273" t="str">
        <x:v>Corporate</x:v>
      </x:c>
      <x:c r="H273" t="str">
        <x:v>Marketplace</x:v>
      </x:c>
      <x:c r="I273" t="str">
        <x:v>Wallet</x:v>
      </x:c>
      <x:c r="J273" t="n">
        <x:v>1</x:v>
      </x:c>
      <x:c r="K273" s="14" t="n">
        <x:v>1899</x:v>
      </x:c>
      <x:c r="L273" s="16" t="n">
        <x:v>0.02</x:v>
      </x:c>
      <x:c r="M273" t="str">
        <x:v>Meera</x:v>
      </x:c>
      <x:c r="N273" t="n">
        <x:v>4</x:v>
      </x:c>
      <x:c r="O273" s="18" t="n">
        <x:v>4.5</x:v>
      </x:c>
      <x:c r="P273" s="14" t="n">
        <x:f>J273*K273</x:f>
        <x:v>1899</x:v>
      </x:c>
      <x:c r="Q273" s="14" t="n">
        <x:f>P273*(1-L273)</x:f>
        <x:v>1861.02</x:v>
      </x:c>
      <x:c r="R273" s="14" t="n">
        <x:f>Q273*(0.24+MOD(ROW(),7)*0.005)</x:f>
        <x:v>446.6448</x:v>
      </x:c>
    </x:row>
    <x:row r="274">
      <x:c r="A274" s="12" t="n">
        <x:v>46215</x:v>
      </x:c>
      <x:c r="B274" t="str">
        <x:v>EC26-0273</x:v>
      </x:c>
      <x:c r="C274" t="str">
        <x:v>Punjab</x:v>
      </x:c>
      <x:c r="D274" t="str">
        <x:v>Ludhiana</x:v>
      </x:c>
      <x:c r="E274" t="str">
        <x:v>Fashion</x:v>
      </x:c>
      <x:c r="F274" t="str">
        <x:v>Hoodie</x:v>
      </x:c>
      <x:c r="G274" t="str">
        <x:v>Small Business</x:v>
      </x:c>
      <x:c r="H274" t="str">
        <x:v>Mobile App</x:v>
      </x:c>
      <x:c r="I274" t="str">
        <x:v>UPI</x:v>
      </x:c>
      <x:c r="J274" t="n">
        <x:v>3</x:v>
      </x:c>
      <x:c r="K274" s="14" t="n">
        <x:v>1999</x:v>
      </x:c>
      <x:c r="L274" s="16" t="n">
        <x:v>0.02</x:v>
      </x:c>
      <x:c r="M274" t="str">
        <x:v>Aarav</x:v>
      </x:c>
      <x:c r="N274" t="n">
        <x:v>6</x:v>
      </x:c>
      <x:c r="O274" s="18" t="n">
        <x:v>4</x:v>
      </x:c>
      <x:c r="P274" s="14" t="n">
        <x:f>J274*K274</x:f>
        <x:v>5997</x:v>
      </x:c>
      <x:c r="Q274" s="14" t="n">
        <x:f>P274*(1-L274)</x:f>
        <x:v>5877.0599999999995</x:v>
      </x:c>
      <x:c r="R274" s="14" t="n">
        <x:f>Q274*(0.24+MOD(ROW(),7)*0.005)</x:f>
        <x:v>1439.8797</x:v>
      </x:c>
    </x:row>
    <x:row r="275">
      <x:c r="A275" s="12" t="n">
        <x:v>46173</x:v>
      </x:c>
      <x:c r="B275" t="str">
        <x:v>EC26-0274</x:v>
      </x:c>
      <x:c r="C275" t="str">
        <x:v>Punjab</x:v>
      </x:c>
      <x:c r="D275" t="str">
        <x:v>Ludhiana</x:v>
      </x:c>
      <x:c r="E275" t="str">
        <x:v>Grocery</x:v>
      </x:c>
      <x:c r="F275" t="str">
        <x:v>Coffee Beans</x:v>
      </x:c>
      <x:c r="G275" t="str">
        <x:v>Consumer</x:v>
      </x:c>
      <x:c r="H275" t="str">
        <x:v>Website</x:v>
      </x:c>
      <x:c r="I275" t="str">
        <x:v>Debit Card</x:v>
      </x:c>
      <x:c r="J275" t="n">
        <x:v>5</x:v>
      </x:c>
      <x:c r="K275" s="14" t="n">
        <x:v>699</x:v>
      </x:c>
      <x:c r="L275" s="16" t="n">
        <x:v>0.05</x:v>
      </x:c>
      <x:c r="M275" t="str">
        <x:v>Meera</x:v>
      </x:c>
      <x:c r="N275" t="n">
        <x:v>2</x:v>
      </x:c>
      <x:c r="O275" s="18" t="n">
        <x:v>4</x:v>
      </x:c>
      <x:c r="P275" s="14" t="n">
        <x:f>J275*K275</x:f>
        <x:v>3495</x:v>
      </x:c>
      <x:c r="Q275" s="14" t="n">
        <x:f>P275*(1-L275)</x:f>
        <x:v>3320.25</x:v>
      </x:c>
      <x:c r="R275" s="14" t="n">
        <x:f>Q275*(0.24+MOD(ROW(),7)*0.005)</x:f>
        <x:v>830.0625</x:v>
      </x:c>
    </x:row>
    <x:row r="276">
      <x:c r="A276" s="12" t="n">
        <x:v>46264</x:v>
      </x:c>
      <x:c r="B276" t="str">
        <x:v>EC26-0275</x:v>
      </x:c>
      <x:c r="C276" t="str">
        <x:v>Punjab</x:v>
      </x:c>
      <x:c r="D276" t="str">
        <x:v>Ludhiana</x:v>
      </x:c>
      <x:c r="E276" t="str">
        <x:v>Beauty</x:v>
      </x:c>
      <x:c r="F276" t="str">
        <x:v>Hair Dryer</x:v>
      </x:c>
      <x:c r="G276" t="str">
        <x:v>Small Business</x:v>
      </x:c>
      <x:c r="H276" t="str">
        <x:v>Website</x:v>
      </x:c>
      <x:c r="I276" t="str">
        <x:v>Debit Card</x:v>
      </x:c>
      <x:c r="J276" t="n">
        <x:v>1</x:v>
      </x:c>
      <x:c r="K276" s="14" t="n">
        <x:v>1899</x:v>
      </x:c>
      <x:c r="L276" s="16" t="n">
        <x:v>0.15</x:v>
      </x:c>
      <x:c r="M276" t="str">
        <x:v>Anaya</x:v>
      </x:c>
      <x:c r="N276" t="n">
        <x:v>4</x:v>
      </x:c>
      <x:c r="O276" s="18" t="n">
        <x:v>4.5</x:v>
      </x:c>
      <x:c r="P276" s="14" t="n">
        <x:f>J276*K276</x:f>
        <x:v>1899</x:v>
      </x:c>
      <x:c r="Q276" s="14" t="n">
        <x:f>P276*(1-L276)</x:f>
        <x:v>1614.1499999999999</x:v>
      </x:c>
      <x:c r="R276" s="14" t="n">
        <x:f>Q276*(0.24+MOD(ROW(),7)*0.005)</x:f>
        <x:v>411.60825</x:v>
      </x:c>
    </x:row>
    <x:row r="277">
      <x:c r="A277" s="12" t="n">
        <x:v>46317</x:v>
      </x:c>
      <x:c r="B277" t="str">
        <x:v>EC26-0276</x:v>
      </x:c>
      <x:c r="C277" t="str">
        <x:v>Kerala</x:v>
      </x:c>
      <x:c r="D277" t="str">
        <x:v>Kochi</x:v>
      </x:c>
      <x:c r="E277" t="str">
        <x:v>Beauty</x:v>
      </x:c>
      <x:c r="F277" t="str">
        <x:v>Face Serum</x:v>
      </x:c>
      <x:c r="G277" t="str">
        <x:v>Small Business</x:v>
      </x:c>
      <x:c r="H277" t="str">
        <x:v>Mobile App</x:v>
      </x:c>
      <x:c r="I277" t="str">
        <x:v>Credit Card</x:v>
      </x:c>
      <x:c r="J277" t="n">
        <x:v>5</x:v>
      </x:c>
      <x:c r="K277" s="14" t="n">
        <x:v>799</x:v>
      </x:c>
      <x:c r="L277" s="16" t="n">
        <x:v>0.15</x:v>
      </x:c>
      <x:c r="M277" t="str">
        <x:v>Aarav</x:v>
      </x:c>
      <x:c r="N277" t="n">
        <x:v>4</x:v>
      </x:c>
      <x:c r="O277" s="18" t="n">
        <x:v>4</x:v>
      </x:c>
      <x:c r="P277" s="14" t="n">
        <x:f>J277*K277</x:f>
        <x:v>3995</x:v>
      </x:c>
      <x:c r="Q277" s="14" t="n">
        <x:f>P277*(1-L277)</x:f>
        <x:v>3395.75</x:v>
      </x:c>
      <x:c r="R277" s="14" t="n">
        <x:f>Q277*(0.24+MOD(ROW(),7)*0.005)</x:f>
        <x:v>882.895</x:v>
      </x:c>
    </x:row>
    <x:row r="278">
      <x:c r="A278" s="12" t="n">
        <x:v>46096</x:v>
      </x:c>
      <x:c r="B278" t="str">
        <x:v>EC26-0277</x:v>
      </x:c>
      <x:c r="C278" t="str">
        <x:v>Karnataka</x:v>
      </x:c>
      <x:c r="D278" t="str">
        <x:v>Bengaluru</x:v>
      </x:c>
      <x:c r="E278" t="str">
        <x:v>Electronics</x:v>
      </x:c>
      <x:c r="F278" t="str">
        <x:v>Wireless Earbuds</x:v>
      </x:c>
      <x:c r="G278" t="str">
        <x:v>Small Business</x:v>
      </x:c>
      <x:c r="H278" t="str">
        <x:v>Mobile App</x:v>
      </x:c>
      <x:c r="I278" t="str">
        <x:v>Credit Card</x:v>
      </x:c>
      <x:c r="J278" t="n">
        <x:v>3</x:v>
      </x:c>
      <x:c r="K278" s="14" t="n">
        <x:v>2499</x:v>
      </x:c>
      <x:c r="L278" s="16" t="n">
        <x:v>0.07</x:v>
      </x:c>
      <x:c r="M278" t="str">
        <x:v>Simran</x:v>
      </x:c>
      <x:c r="N278" t="n">
        <x:v>3</x:v>
      </x:c>
      <x:c r="O278" s="18" t="n">
        <x:v>3.5</x:v>
      </x:c>
      <x:c r="P278" s="14" t="n">
        <x:f>J278*K278</x:f>
        <x:v>7497</x:v>
      </x:c>
      <x:c r="Q278" s="14" t="n">
        <x:f>P278*(1-L278)</x:f>
        <x:v>6972.209999999999</x:v>
      </x:c>
      <x:c r="R278" s="14" t="n">
        <x:f>Q278*(0.24+MOD(ROW(),7)*0.005)</x:f>
        <x:v>1847.63565</x:v>
      </x:c>
    </x:row>
    <x:row r="279">
      <x:c r="A279" s="12" t="n">
        <x:v>46187</x:v>
      </x:c>
      <x:c r="B279" t="str">
        <x:v>EC26-0278</x:v>
      </x:c>
      <x:c r="C279" t="str">
        <x:v>Gujarat</x:v>
      </x:c>
      <x:c r="D279" t="str">
        <x:v>Ahmedabad</x:v>
      </x:c>
      <x:c r="E279" t="str">
        <x:v>Beauty</x:v>
      </x:c>
      <x:c r="F279" t="str">
        <x:v>Hair Dryer</x:v>
      </x:c>
      <x:c r="G279" t="str">
        <x:v>Consumer</x:v>
      </x:c>
      <x:c r="H279" t="str">
        <x:v>Website</x:v>
      </x:c>
      <x:c r="I279" t="str">
        <x:v>Credit Card</x:v>
      </x:c>
      <x:c r="J279" t="n">
        <x:v>1</x:v>
      </x:c>
      <x:c r="K279" s="14" t="n">
        <x:v>1899</x:v>
      </x:c>
      <x:c r="L279" s="16" t="n">
        <x:v>0.07</x:v>
      </x:c>
      <x:c r="M279" t="str">
        <x:v>Ishita</x:v>
      </x:c>
      <x:c r="N279" t="n">
        <x:v>6</x:v>
      </x:c>
      <x:c r="O279" s="18" t="n">
        <x:v>5</x:v>
      </x:c>
      <x:c r="P279" s="14" t="n">
        <x:f>J279*K279</x:f>
        <x:v>1899</x:v>
      </x:c>
      <x:c r="Q279" s="14" t="n">
        <x:f>P279*(1-L279)</x:f>
        <x:v>1766.07</x:v>
      </x:c>
      <x:c r="R279" s="14" t="n">
        <x:f>Q279*(0.24+MOD(ROW(),7)*0.005)</x:f>
        <x:v>476.8389</x:v>
      </x:c>
    </x:row>
    <x:row r="280">
      <x:c r="A280" s="12" t="n">
        <x:v>46224</x:v>
      </x:c>
      <x:c r="B280" t="str">
        <x:v>EC26-0279</x:v>
      </x:c>
      <x:c r="C280" t="str">
        <x:v>Rajasthan</x:v>
      </x:c>
      <x:c r="D280" t="str">
        <x:v>Jaipur</x:v>
      </x:c>
      <x:c r="E280" t="str">
        <x:v>Home</x:v>
      </x:c>
      <x:c r="F280" t="str">
        <x:v>LED Lamp</x:v>
      </x:c>
      <x:c r="G280" t="str">
        <x:v>Small Business</x:v>
      </x:c>
      <x:c r="H280" t="str">
        <x:v>Marketplace</x:v>
      </x:c>
      <x:c r="I280" t="str">
        <x:v>Debit Card</x:v>
      </x:c>
      <x:c r="J280" t="n">
        <x:v>1</x:v>
      </x:c>
      <x:c r="K280" s="14" t="n">
        <x:v>899</x:v>
      </x:c>
      <x:c r="L280" s="16" t="n">
        <x:v>0.1</x:v>
      </x:c>
      <x:c r="M280" t="str">
        <x:v>Ishita</x:v>
      </x:c>
      <x:c r="N280" t="n">
        <x:v>4</x:v>
      </x:c>
      <x:c r="O280" s="18" t="n">
        <x:v>4.5</x:v>
      </x:c>
      <x:c r="P280" s="14" t="n">
        <x:f>J280*K280</x:f>
        <x:v>899</x:v>
      </x:c>
      <x:c r="Q280" s="14" t="n">
        <x:f>P280*(1-L280)</x:f>
        <x:v>809.1</x:v>
      </x:c>
      <x:c r="R280" s="14" t="n">
        <x:f>Q280*(0.24+MOD(ROW(),7)*0.005)</x:f>
        <x:v>194.184</x:v>
      </x:c>
    </x:row>
    <x:row r="281">
      <x:c r="A281" s="12" t="n">
        <x:v>46289</x:v>
      </x:c>
      <x:c r="B281" t="str">
        <x:v>EC26-0280</x:v>
      </x:c>
      <x:c r="C281" t="str">
        <x:v>Tamil Nadu</x:v>
      </x:c>
      <x:c r="D281" t="str">
        <x:v>Chennai</x:v>
      </x:c>
      <x:c r="E281" t="str">
        <x:v>Home</x:v>
      </x:c>
      <x:c r="F281" t="str">
        <x:v>Air Fryer</x:v>
      </x:c>
      <x:c r="G281" t="str">
        <x:v>Small Business</x:v>
      </x:c>
      <x:c r="H281" t="str">
        <x:v>Marketplace</x:v>
      </x:c>
      <x:c r="I281" t="str">
        <x:v>Debit Card</x:v>
      </x:c>
      <x:c r="J281" t="n">
        <x:v>2</x:v>
      </x:c>
      <x:c r="K281" s="14" t="n">
        <x:v>5999</x:v>
      </x:c>
      <x:c r="L281" s="16" t="n">
        <x:v>0.02</x:v>
      </x:c>
      <x:c r="M281" t="str">
        <x:v>Meera</x:v>
      </x:c>
      <x:c r="N281" t="n">
        <x:v>4</x:v>
      </x:c>
      <x:c r="O281" s="18" t="n">
        <x:v>4.5</x:v>
      </x:c>
      <x:c r="P281" s="14" t="n">
        <x:f>J281*K281</x:f>
        <x:v>11998</x:v>
      </x:c>
      <x:c r="Q281" s="14" t="n">
        <x:f>P281*(1-L281)</x:f>
        <x:v>11758.039999999999</x:v>
      </x:c>
      <x:c r="R281" s="14" t="n">
        <x:f>Q281*(0.24+MOD(ROW(),7)*0.005)</x:f>
        <x:v>2880.7198</x:v>
      </x:c>
    </x:row>
    <x:row r="282">
      <x:c r="A282" s="12" t="n">
        <x:v>46342</x:v>
      </x:c>
      <x:c r="B282" t="str">
        <x:v>EC26-0281</x:v>
      </x:c>
      <x:c r="C282" t="str">
        <x:v>Karnataka</x:v>
      </x:c>
      <x:c r="D282" t="str">
        <x:v>Bengaluru</x:v>
      </x:c>
      <x:c r="E282" t="str">
        <x:v>Electronics</x:v>
      </x:c>
      <x:c r="F282" t="str">
        <x:v>USB-C Hub</x:v>
      </x:c>
      <x:c r="G282" t="str">
        <x:v>Consumer</x:v>
      </x:c>
      <x:c r="H282" t="str">
        <x:v>Mobile App</x:v>
      </x:c>
      <x:c r="I282" t="str">
        <x:v>COD</x:v>
      </x:c>
      <x:c r="J282" t="n">
        <x:v>1</x:v>
      </x:c>
      <x:c r="K282" s="14" t="n">
        <x:v>1999</x:v>
      </x:c>
      <x:c r="L282" s="16" t="n">
        <x:v>0</x:v>
      </x:c>
      <x:c r="M282" t="str">
        <x:v>Rohan</x:v>
      </x:c>
      <x:c r="N282" t="n">
        <x:v>4</x:v>
      </x:c>
      <x:c r="O282" s="18" t="n">
        <x:v>4.5</x:v>
      </x:c>
      <x:c r="P282" s="14" t="n">
        <x:f>J282*K282</x:f>
        <x:v>1999</x:v>
      </x:c>
      <x:c r="Q282" s="14" t="n">
        <x:f>P282*(1-L282)</x:f>
        <x:v>1999</x:v>
      </x:c>
      <x:c r="R282" s="14" t="n">
        <x:f>Q282*(0.24+MOD(ROW(),7)*0.005)</x:f>
        <x:v>499.75</x:v>
      </x:c>
    </x:row>
    <x:row r="283">
      <x:c r="A283" s="12" t="n">
        <x:v>46088</x:v>
      </x:c>
      <x:c r="B283" t="str">
        <x:v>EC26-0282</x:v>
      </x:c>
      <x:c r="C283" t="str">
        <x:v>Maharashtra</x:v>
      </x:c>
      <x:c r="D283" t="str">
        <x:v>Mumbai</x:v>
      </x:c>
      <x:c r="E283" t="str">
        <x:v>Home</x:v>
      </x:c>
      <x:c r="F283" t="str">
        <x:v>Air Fryer</x:v>
      </x:c>
      <x:c r="G283" t="str">
        <x:v>Small Business</x:v>
      </x:c>
      <x:c r="H283" t="str">
        <x:v>Marketplace</x:v>
      </x:c>
      <x:c r="I283" t="str">
        <x:v>Wallet</x:v>
      </x:c>
      <x:c r="J283" t="n">
        <x:v>3</x:v>
      </x:c>
      <x:c r="K283" s="14" t="n">
        <x:v>5999</x:v>
      </x:c>
      <x:c r="L283" s="16" t="n">
        <x:v>0.05</x:v>
      </x:c>
      <x:c r="M283" t="str">
        <x:v>Ishita</x:v>
      </x:c>
      <x:c r="N283" t="n">
        <x:v>6</x:v>
      </x:c>
      <x:c r="O283" s="18" t="n">
        <x:v>3</x:v>
      </x:c>
      <x:c r="P283" s="14" t="n">
        <x:f>J283*K283</x:f>
        <x:v>17997</x:v>
      </x:c>
      <x:c r="Q283" s="14" t="n">
        <x:f>P283*(1-L283)</x:f>
        <x:v>17097.149999999998</x:v>
      </x:c>
      <x:c r="R283" s="14" t="n">
        <x:f>Q283*(0.24+MOD(ROW(),7)*0.005)</x:f>
        <x:v>4359.773249999999</x:v>
      </x:c>
    </x:row>
    <x:row r="284">
      <x:c r="A284" s="12" t="n">
        <x:v>46368</x:v>
      </x:c>
      <x:c r="B284" t="str">
        <x:v>EC26-0283</x:v>
      </x:c>
      <x:c r="C284" t="str">
        <x:v>Tamil Nadu</x:v>
      </x:c>
      <x:c r="D284" t="str">
        <x:v>Chennai</x:v>
      </x:c>
      <x:c r="E284" t="str">
        <x:v>Home</x:v>
      </x:c>
      <x:c r="F284" t="str">
        <x:v>Air Fryer</x:v>
      </x:c>
      <x:c r="G284" t="str">
        <x:v>Small Business</x:v>
      </x:c>
      <x:c r="H284" t="str">
        <x:v>Mobile App</x:v>
      </x:c>
      <x:c r="I284" t="str">
        <x:v>Debit Card</x:v>
      </x:c>
      <x:c r="J284" t="n">
        <x:v>1</x:v>
      </x:c>
      <x:c r="K284" s="14" t="n">
        <x:v>5999</x:v>
      </x:c>
      <x:c r="L284" s="16" t="n">
        <x:v>0</x:v>
      </x:c>
      <x:c r="M284" t="str">
        <x:v>Kabir</x:v>
      </x:c>
      <x:c r="N284" t="n">
        <x:v>1</x:v>
      </x:c>
      <x:c r="O284" s="18" t="n">
        <x:v>4</x:v>
      </x:c>
      <x:c r="P284" s="14" t="n">
        <x:f>J284*K284</x:f>
        <x:v>5999</x:v>
      </x:c>
      <x:c r="Q284" s="14" t="n">
        <x:f>P284*(1-L284)</x:f>
        <x:v>5999</x:v>
      </x:c>
      <x:c r="R284" s="14" t="n">
        <x:f>Q284*(0.24+MOD(ROW(),7)*0.005)</x:f>
        <x:v>1559.74</x:v>
      </x:c>
    </x:row>
    <x:row r="285">
      <x:c r="A285" s="12" t="n">
        <x:v>46173</x:v>
      </x:c>
      <x:c r="B285" t="str">
        <x:v>EC26-0284</x:v>
      </x:c>
      <x:c r="C285" t="str">
        <x:v>Gujarat</x:v>
      </x:c>
      <x:c r="D285" t="str">
        <x:v>Ahmedabad</x:v>
      </x:c>
      <x:c r="E285" t="str">
        <x:v>Grocery</x:v>
      </x:c>
      <x:c r="F285" t="str">
        <x:v>Green Tea</x:v>
      </x:c>
      <x:c r="G285" t="str">
        <x:v>Corporate</x:v>
      </x:c>
      <x:c r="H285" t="str">
        <x:v>Website</x:v>
      </x:c>
      <x:c r="I285" t="str">
        <x:v>COD</x:v>
      </x:c>
      <x:c r="J285" t="n">
        <x:v>1</x:v>
      </x:c>
      <x:c r="K285" s="14" t="n">
        <x:v>499</x:v>
      </x:c>
      <x:c r="L285" s="16" t="n">
        <x:v>0.02</x:v>
      </x:c>
      <x:c r="M285" t="str">
        <x:v>Vihaan</x:v>
      </x:c>
      <x:c r="N285" t="n">
        <x:v>3</x:v>
      </x:c>
      <x:c r="O285" s="18" t="n">
        <x:v>4</x:v>
      </x:c>
      <x:c r="P285" s="14" t="n">
        <x:f>J285*K285</x:f>
        <x:v>499</x:v>
      </x:c>
      <x:c r="Q285" s="14" t="n">
        <x:f>P285*(1-L285)</x:f>
        <x:v>489.02</x:v>
      </x:c>
      <x:c r="R285" s="14" t="n">
        <x:f>Q285*(0.24+MOD(ROW(),7)*0.005)</x:f>
        <x:v>129.5903</x:v>
      </x:c>
    </x:row>
    <x:row r="286">
      <x:c r="A286" s="12" t="n">
        <x:v>46176</x:v>
      </x:c>
      <x:c r="B286" t="str">
        <x:v>EC26-0285</x:v>
      </x:c>
      <x:c r="C286" t="str">
        <x:v>Kerala</x:v>
      </x:c>
      <x:c r="D286" t="str">
        <x:v>Kochi</x:v>
      </x:c>
      <x:c r="E286" t="str">
        <x:v>Beauty</x:v>
      </x:c>
      <x:c r="F286" t="str">
        <x:v>Perfume</x:v>
      </x:c>
      <x:c r="G286" t="str">
        <x:v>Consumer</x:v>
      </x:c>
      <x:c r="H286" t="str">
        <x:v>Mobile App</x:v>
      </x:c>
      <x:c r="I286" t="str">
        <x:v>Debit Card</x:v>
      </x:c>
      <x:c r="J286" t="n">
        <x:v>1</x:v>
      </x:c>
      <x:c r="K286" s="14" t="n">
        <x:v>2499</x:v>
      </x:c>
      <x:c r="L286" s="16" t="n">
        <x:v>0.02</x:v>
      </x:c>
      <x:c r="M286" t="str">
        <x:v>Vihaan</x:v>
      </x:c>
      <x:c r="N286" t="n">
        <x:v>2</x:v>
      </x:c>
      <x:c r="O286" s="18" t="n">
        <x:v>4.5</x:v>
      </x:c>
      <x:c r="P286" s="14" t="n">
        <x:f>J286*K286</x:f>
        <x:v>2499</x:v>
      </x:c>
      <x:c r="Q286" s="14" t="n">
        <x:f>P286*(1-L286)</x:f>
        <x:v>2449.02</x:v>
      </x:c>
      <x:c r="R286" s="14" t="n">
        <x:f>Q286*(0.24+MOD(ROW(),7)*0.005)</x:f>
        <x:v>661.2354</x:v>
      </x:c>
    </x:row>
    <x:row r="287">
      <x:c r="A287" s="12" t="n">
        <x:v>46385</x:v>
      </x:c>
      <x:c r="B287" t="str">
        <x:v>EC26-0286</x:v>
      </x:c>
      <x:c r="C287" t="str">
        <x:v>Maharashtra</x:v>
      </x:c>
      <x:c r="D287" t="str">
        <x:v>Mumbai</x:v>
      </x:c>
      <x:c r="E287" t="str">
        <x:v>Electronics</x:v>
      </x:c>
      <x:c r="F287" t="str">
        <x:v>Wireless Earbuds</x:v>
      </x:c>
      <x:c r="G287" t="str">
        <x:v>Small Business</x:v>
      </x:c>
      <x:c r="H287" t="str">
        <x:v>Mobile App</x:v>
      </x:c>
      <x:c r="I287" t="str">
        <x:v>Debit Card</x:v>
      </x:c>
      <x:c r="J287" t="n">
        <x:v>5</x:v>
      </x:c>
      <x:c r="K287" s="14" t="n">
        <x:v>2499</x:v>
      </x:c>
      <x:c r="L287" s="16" t="n">
        <x:v>0</x:v>
      </x:c>
      <x:c r="M287" t="str">
        <x:v>Meera</x:v>
      </x:c>
      <x:c r="N287" t="n">
        <x:v>1</x:v>
      </x:c>
      <x:c r="O287" s="18" t="n">
        <x:v>5</x:v>
      </x:c>
      <x:c r="P287" s="14" t="n">
        <x:f>J287*K287</x:f>
        <x:v>12495</x:v>
      </x:c>
      <x:c r="Q287" s="14" t="n">
        <x:f>P287*(1-L287)</x:f>
        <x:v>12495</x:v>
      </x:c>
      <x:c r="R287" s="14" t="n">
        <x:f>Q287*(0.24+MOD(ROW(),7)*0.005)</x:f>
        <x:v>2998.7999999999997</x:v>
      </x:c>
    </x:row>
    <x:row r="288">
      <x:c r="A288" s="12" t="n">
        <x:v>46376</x:v>
      </x:c>
      <x:c r="B288" t="str">
        <x:v>EC26-0287</x:v>
      </x:c>
      <x:c r="C288" t="str">
        <x:v>Maharashtra</x:v>
      </x:c>
      <x:c r="D288" t="str">
        <x:v>Mumbai</x:v>
      </x:c>
      <x:c r="E288" t="str">
        <x:v>Electronics</x:v>
      </x:c>
      <x:c r="F288" t="str">
        <x:v>Bluetooth Speaker</x:v>
      </x:c>
      <x:c r="G288" t="str">
        <x:v>Small Business</x:v>
      </x:c>
      <x:c r="H288" t="str">
        <x:v>Website</x:v>
      </x:c>
      <x:c r="I288" t="str">
        <x:v>UPI</x:v>
      </x:c>
      <x:c r="J288" t="n">
        <x:v>2</x:v>
      </x:c>
      <x:c r="K288" s="14" t="n">
        <x:v>2999</x:v>
      </x:c>
      <x:c r="L288" s="16" t="n">
        <x:v>0.07</x:v>
      </x:c>
      <x:c r="M288" t="str">
        <x:v>Ishita</x:v>
      </x:c>
      <x:c r="N288" t="n">
        <x:v>3</x:v>
      </x:c>
      <x:c r="O288" s="18" t="n">
        <x:v>5</x:v>
      </x:c>
      <x:c r="P288" s="14" t="n">
        <x:f>J288*K288</x:f>
        <x:v>5998</x:v>
      </x:c>
      <x:c r="Q288" s="14" t="n">
        <x:f>P288*(1-L288)</x:f>
        <x:v>5578.139999999999</x:v>
      </x:c>
      <x:c r="R288" s="14" t="n">
        <x:f>Q288*(0.24+MOD(ROW(),7)*0.005)</x:f>
        <x:v>1366.6443</x:v>
      </x:c>
    </x:row>
    <x:row r="289">
      <x:c r="A289" s="12" t="n">
        <x:v>46086</x:v>
      </x:c>
      <x:c r="B289" t="str">
        <x:v>EC26-0288</x:v>
      </x:c>
      <x:c r="C289" t="str">
        <x:v>West Bengal</x:v>
      </x:c>
      <x:c r="D289" t="str">
        <x:v>Kolkata</x:v>
      </x:c>
      <x:c r="E289" t="str">
        <x:v>Fashion</x:v>
      </x:c>
      <x:c r="F289" t="str">
        <x:v>Hoodie</x:v>
      </x:c>
      <x:c r="G289" t="str">
        <x:v>Small Business</x:v>
      </x:c>
      <x:c r="H289" t="str">
        <x:v>Marketplace</x:v>
      </x:c>
      <x:c r="I289" t="str">
        <x:v>Debit Card</x:v>
      </x:c>
      <x:c r="J289" t="n">
        <x:v>1</x:v>
      </x:c>
      <x:c r="K289" s="14" t="n">
        <x:v>1999</x:v>
      </x:c>
      <x:c r="L289" s="16" t="n">
        <x:v>0.05</x:v>
      </x:c>
      <x:c r="M289" t="str">
        <x:v>Aarav</x:v>
      </x:c>
      <x:c r="N289" t="n">
        <x:v>3</x:v>
      </x:c>
      <x:c r="O289" s="18" t="n">
        <x:v>4</x:v>
      </x:c>
      <x:c r="P289" s="14" t="n">
        <x:f>J289*K289</x:f>
        <x:v>1999</x:v>
      </x:c>
      <x:c r="Q289" s="14" t="n">
        <x:f>P289*(1-L289)</x:f>
        <x:v>1899.05</x:v>
      </x:c>
      <x:c r="R289" s="14" t="n">
        <x:f>Q289*(0.24+MOD(ROW(),7)*0.005)</x:f>
        <x:v>474.7625</x:v>
      </x:c>
    </x:row>
    <x:row r="290">
      <x:c r="A290" s="12" t="n">
        <x:v>46148</x:v>
      </x:c>
      <x:c r="B290" t="str">
        <x:v>EC26-0289</x:v>
      </x:c>
      <x:c r="C290" t="str">
        <x:v>Madhya Pradesh</x:v>
      </x:c>
      <x:c r="D290" t="str">
        <x:v>Indore</x:v>
      </x:c>
      <x:c r="E290" t="str">
        <x:v>Electronics</x:v>
      </x:c>
      <x:c r="F290" t="str">
        <x:v>Smartwatch</x:v>
      </x:c>
      <x:c r="G290" t="str">
        <x:v>Consumer</x:v>
      </x:c>
      <x:c r="H290" t="str">
        <x:v>Website</x:v>
      </x:c>
      <x:c r="I290" t="str">
        <x:v>Credit Card</x:v>
      </x:c>
      <x:c r="J290" t="n">
        <x:v>1</x:v>
      </x:c>
      <x:c r="K290" s="14" t="n">
        <x:v>3999</x:v>
      </x:c>
      <x:c r="L290" s="16" t="n">
        <x:v>0.1</x:v>
      </x:c>
      <x:c r="M290" t="str">
        <x:v>Vihaan</x:v>
      </x:c>
      <x:c r="N290" t="n">
        <x:v>3</x:v>
      </x:c>
      <x:c r="O290" s="18" t="n">
        <x:v>4</x:v>
      </x:c>
      <x:c r="P290" s="14" t="n">
        <x:f>J290*K290</x:f>
        <x:v>3999</x:v>
      </x:c>
      <x:c r="Q290" s="14" t="n">
        <x:f>P290*(1-L290)</x:f>
        <x:v>3599.1</x:v>
      </x:c>
      <x:c r="R290" s="14" t="n">
        <x:f>Q290*(0.24+MOD(ROW(),7)*0.005)</x:f>
        <x:v>917.7705</x:v>
      </x:c>
    </x:row>
    <x:row r="291">
      <x:c r="A291" s="12" t="n">
        <x:v>46346</x:v>
      </x:c>
      <x:c r="B291" t="str">
        <x:v>EC26-0290</x:v>
      </x:c>
      <x:c r="C291" t="str">
        <x:v>Rajasthan</x:v>
      </x:c>
      <x:c r="D291" t="str">
        <x:v>Jaipur</x:v>
      </x:c>
      <x:c r="E291" t="str">
        <x:v>Electronics</x:v>
      </x:c>
      <x:c r="F291" t="str">
        <x:v>USB-C Hub</x:v>
      </x:c>
      <x:c r="G291" t="str">
        <x:v>Small Business</x:v>
      </x:c>
      <x:c r="H291" t="str">
        <x:v>Website</x:v>
      </x:c>
      <x:c r="I291" t="str">
        <x:v>COD</x:v>
      </x:c>
      <x:c r="J291" t="n">
        <x:v>2</x:v>
      </x:c>
      <x:c r="K291" s="14" t="n">
        <x:v>1999</x:v>
      </x:c>
      <x:c r="L291" s="16" t="n">
        <x:v>0.05</x:v>
      </x:c>
      <x:c r="M291" t="str">
        <x:v>Aarav</x:v>
      </x:c>
      <x:c r="N291" t="n">
        <x:v>6</x:v>
      </x:c>
      <x:c r="O291" s="18" t="n">
        <x:v>5</x:v>
      </x:c>
      <x:c r="P291" s="14" t="n">
        <x:f>J291*K291</x:f>
        <x:v>3998</x:v>
      </x:c>
      <x:c r="Q291" s="14" t="n">
        <x:f>P291*(1-L291)</x:f>
        <x:v>3798.1</x:v>
      </x:c>
      <x:c r="R291" s="14" t="n">
        <x:f>Q291*(0.24+MOD(ROW(),7)*0.005)</x:f>
        <x:v>987.506</x:v>
      </x:c>
    </x:row>
    <x:row r="292">
      <x:c r="A292" s="12" t="n">
        <x:v>46083</x:v>
      </x:c>
      <x:c r="B292" t="str">
        <x:v>EC26-0291</x:v>
      </x:c>
      <x:c r="C292" t="str">
        <x:v>Tamil Nadu</x:v>
      </x:c>
      <x:c r="D292" t="str">
        <x:v>Chennai</x:v>
      </x:c>
      <x:c r="E292" t="str">
        <x:v>Fashion</x:v>
      </x:c>
      <x:c r="F292" t="str">
        <x:v>Denim Jacket</x:v>
      </x:c>
      <x:c r="G292" t="str">
        <x:v>Corporate</x:v>
      </x:c>
      <x:c r="H292" t="str">
        <x:v>Marketplace</x:v>
      </x:c>
      <x:c r="I292" t="str">
        <x:v>Debit Card</x:v>
      </x:c>
      <x:c r="J292" t="n">
        <x:v>2</x:v>
      </x:c>
      <x:c r="K292" s="14" t="n">
        <x:v>2999</x:v>
      </x:c>
      <x:c r="L292" s="16" t="n">
        <x:v>0.15</x:v>
      </x:c>
      <x:c r="M292" t="str">
        <x:v>Vihaan</x:v>
      </x:c>
      <x:c r="N292" t="n">
        <x:v>4</x:v>
      </x:c>
      <x:c r="O292" s="18" t="n">
        <x:v>4.5</x:v>
      </x:c>
      <x:c r="P292" s="14" t="n">
        <x:f>J292*K292</x:f>
        <x:v>5998</x:v>
      </x:c>
      <x:c r="Q292" s="14" t="n">
        <x:f>P292*(1-L292)</x:f>
        <x:v>5098.3</x:v>
      </x:c>
      <x:c r="R292" s="14" t="n">
        <x:f>Q292*(0.24+MOD(ROW(),7)*0.005)</x:f>
        <x:v>1351.0495</x:v>
      </x:c>
    </x:row>
    <x:row r="293">
      <x:c r="A293" s="12" t="n">
        <x:v>46316</x:v>
      </x:c>
      <x:c r="B293" t="str">
        <x:v>EC26-0292</x:v>
      </x:c>
      <x:c r="C293" t="str">
        <x:v>Kerala</x:v>
      </x:c>
      <x:c r="D293" t="str">
        <x:v>Kochi</x:v>
      </x:c>
      <x:c r="E293" t="str">
        <x:v>Home</x:v>
      </x:c>
      <x:c r="F293" t="str">
        <x:v>Air Fryer</x:v>
      </x:c>
      <x:c r="G293" t="str">
        <x:v>Corporate</x:v>
      </x:c>
      <x:c r="H293" t="str">
        <x:v>Mobile App</x:v>
      </x:c>
      <x:c r="I293" t="str">
        <x:v>Credit Card</x:v>
      </x:c>
      <x:c r="J293" t="n">
        <x:v>2</x:v>
      </x:c>
      <x:c r="K293" s="14" t="n">
        <x:v>5999</x:v>
      </x:c>
      <x:c r="L293" s="16" t="n">
        <x:v>0.05</x:v>
      </x:c>
      <x:c r="M293" t="str">
        <x:v>Kabir</x:v>
      </x:c>
      <x:c r="N293" t="n">
        <x:v>2</x:v>
      </x:c>
      <x:c r="O293" s="18" t="n">
        <x:v>3.5</x:v>
      </x:c>
      <x:c r="P293" s="14" t="n">
        <x:f>J293*K293</x:f>
        <x:v>11998</x:v>
      </x:c>
      <x:c r="Q293" s="14" t="n">
        <x:f>P293*(1-L293)</x:f>
        <x:v>11398.1</x:v>
      </x:c>
      <x:c r="R293" s="14" t="n">
        <x:f>Q293*(0.24+MOD(ROW(),7)*0.005)</x:f>
        <x:v>3077.487</x:v>
      </x:c>
    </x:row>
    <x:row r="294">
      <x:c r="A294" s="12" t="n">
        <x:v>46262</x:v>
      </x:c>
      <x:c r="B294" t="str">
        <x:v>EC26-0293</x:v>
      </x:c>
      <x:c r="C294" t="str">
        <x:v>Delhi</x:v>
      </x:c>
      <x:c r="D294" t="str">
        <x:v>New Delhi</x:v>
      </x:c>
      <x:c r="E294" t="str">
        <x:v>Home</x:v>
      </x:c>
      <x:c r="F294" t="str">
        <x:v>Coffee Maker</x:v>
      </x:c>
      <x:c r="G294" t="str">
        <x:v>Small Business</x:v>
      </x:c>
      <x:c r="H294" t="str">
        <x:v>Website</x:v>
      </x:c>
      <x:c r="I294" t="str">
        <x:v>Wallet</x:v>
      </x:c>
      <x:c r="J294" t="n">
        <x:v>1</x:v>
      </x:c>
      <x:c r="K294" s="14" t="n">
        <x:v>4499</x:v>
      </x:c>
      <x:c r="L294" s="16" t="n">
        <x:v>0.05</x:v>
      </x:c>
      <x:c r="M294" t="str">
        <x:v>Aarav</x:v>
      </x:c>
      <x:c r="N294" t="n">
        <x:v>1</x:v>
      </x:c>
      <x:c r="O294" s="18" t="n">
        <x:v>5</x:v>
      </x:c>
      <x:c r="P294" s="14" t="n">
        <x:f>J294*K294</x:f>
        <x:v>4499</x:v>
      </x:c>
      <x:c r="Q294" s="14" t="n">
        <x:f>P294*(1-L294)</x:f>
        <x:v>4274.05</x:v>
      </x:c>
      <x:c r="R294" s="14" t="n">
        <x:f>Q294*(0.24+MOD(ROW(),7)*0.005)</x:f>
        <x:v>1025.772</x:v>
      </x:c>
    </x:row>
    <x:row r="295">
      <x:c r="A295" s="12" t="n">
        <x:v>46149</x:v>
      </x:c>
      <x:c r="B295" t="str">
        <x:v>EC26-0294</x:v>
      </x:c>
      <x:c r="C295" t="str">
        <x:v>Maharashtra</x:v>
      </x:c>
      <x:c r="D295" t="str">
        <x:v>Mumbai</x:v>
      </x:c>
      <x:c r="E295" t="str">
        <x:v>Fashion</x:v>
      </x:c>
      <x:c r="F295" t="str">
        <x:v>Denim Jacket</x:v>
      </x:c>
      <x:c r="G295" t="str">
        <x:v>Consumer</x:v>
      </x:c>
      <x:c r="H295" t="str">
        <x:v>Mobile App</x:v>
      </x:c>
      <x:c r="I295" t="str">
        <x:v>Credit Card</x:v>
      </x:c>
      <x:c r="J295" t="n">
        <x:v>1</x:v>
      </x:c>
      <x:c r="K295" s="14" t="n">
        <x:v>2999</x:v>
      </x:c>
      <x:c r="L295" s="16" t="n">
        <x:v>0.1</x:v>
      </x:c>
      <x:c r="M295" t="str">
        <x:v>Anaya</x:v>
      </x:c>
      <x:c r="N295" t="n">
        <x:v>6</x:v>
      </x:c>
      <x:c r="O295" s="18" t="n">
        <x:v>3.5</x:v>
      </x:c>
      <x:c r="P295" s="14" t="n">
        <x:f>J295*K295</x:f>
        <x:v>2999</x:v>
      </x:c>
      <x:c r="Q295" s="14" t="n">
        <x:f>P295*(1-L295)</x:f>
        <x:v>2699.1</x:v>
      </x:c>
      <x:c r="R295" s="14" t="n">
        <x:f>Q295*(0.24+MOD(ROW(),7)*0.005)</x:f>
        <x:v>661.2795</x:v>
      </x:c>
    </x:row>
    <x:row r="296">
      <x:c r="A296" s="12" t="n">
        <x:v>46262</x:v>
      </x:c>
      <x:c r="B296" t="str">
        <x:v>EC26-0295</x:v>
      </x:c>
      <x:c r="C296" t="str">
        <x:v>West Bengal</x:v>
      </x:c>
      <x:c r="D296" t="str">
        <x:v>Kolkata</x:v>
      </x:c>
      <x:c r="E296" t="str">
        <x:v>Fashion</x:v>
      </x:c>
      <x:c r="F296" t="str">
        <x:v>Sneakers</x:v>
      </x:c>
      <x:c r="G296" t="str">
        <x:v>Consumer</x:v>
      </x:c>
      <x:c r="H296" t="str">
        <x:v>Mobile App</x:v>
      </x:c>
      <x:c r="I296" t="str">
        <x:v>UPI</x:v>
      </x:c>
      <x:c r="J296" t="n">
        <x:v>1</x:v>
      </x:c>
      <x:c r="K296" s="14" t="n">
        <x:v>2799</x:v>
      </x:c>
      <x:c r="L296" s="16" t="n">
        <x:v>0.15</x:v>
      </x:c>
      <x:c r="M296" t="str">
        <x:v>Rohan</x:v>
      </x:c>
      <x:c r="N296" t="n">
        <x:v>4</x:v>
      </x:c>
      <x:c r="O296" s="18" t="n">
        <x:v>4.5</x:v>
      </x:c>
      <x:c r="P296" s="14" t="n">
        <x:f>J296*K296</x:f>
        <x:v>2799</x:v>
      </x:c>
      <x:c r="Q296" s="14" t="n">
        <x:f>P296*(1-L296)</x:f>
        <x:v>2379.15</x:v>
      </x:c>
      <x:c r="R296" s="14" t="n">
        <x:f>Q296*(0.24+MOD(ROW(),7)*0.005)</x:f>
        <x:v>594.7875</x:v>
      </x:c>
    </x:row>
    <x:row r="297">
      <x:c r="A297" s="12" t="n">
        <x:v>46197</x:v>
      </x:c>
      <x:c r="B297" t="str">
        <x:v>EC26-0296</x:v>
      </x:c>
      <x:c r="C297" t="str">
        <x:v>Kerala</x:v>
      </x:c>
      <x:c r="D297" t="str">
        <x:v>Kochi</x:v>
      </x:c>
      <x:c r="E297" t="str">
        <x:v>Beauty</x:v>
      </x:c>
      <x:c r="F297" t="str">
        <x:v>Skincare Kit</x:v>
      </x:c>
      <x:c r="G297" t="str">
        <x:v>Consumer</x:v>
      </x:c>
      <x:c r="H297" t="str">
        <x:v>Website</x:v>
      </x:c>
      <x:c r="I297" t="str">
        <x:v>Credit Card</x:v>
      </x:c>
      <x:c r="J297" t="n">
        <x:v>4</x:v>
      </x:c>
      <x:c r="K297" s="14" t="n">
        <x:v>1299</x:v>
      </x:c>
      <x:c r="L297" s="16" t="n">
        <x:v>0.12</x:v>
      </x:c>
      <x:c r="M297" t="str">
        <x:v>Rohan</x:v>
      </x:c>
      <x:c r="N297" t="n">
        <x:v>6</x:v>
      </x:c>
      <x:c r="O297" s="18" t="n">
        <x:v>3</x:v>
      </x:c>
      <x:c r="P297" s="14" t="n">
        <x:f>J297*K297</x:f>
        <x:v>5196</x:v>
      </x:c>
      <x:c r="Q297" s="14" t="n">
        <x:f>P297*(1-L297)</x:f>
        <x:v>4572.4800000000005</x:v>
      </x:c>
      <x:c r="R297" s="14" t="n">
        <x:f>Q297*(0.24+MOD(ROW(),7)*0.005)</x:f>
        <x:v>1165.9824</x:v>
      </x:c>
    </x:row>
    <x:row r="298">
      <x:c r="A298" s="12" t="n">
        <x:v>46194</x:v>
      </x:c>
      <x:c r="B298" t="str">
        <x:v>EC26-0297</x:v>
      </x:c>
      <x:c r="C298" t="str">
        <x:v>Karnataka</x:v>
      </x:c>
      <x:c r="D298" t="str">
        <x:v>Bengaluru</x:v>
      </x:c>
      <x:c r="E298" t="str">
        <x:v>Fashion</x:v>
      </x:c>
      <x:c r="F298" t="str">
        <x:v>Hoodie</x:v>
      </x:c>
      <x:c r="G298" t="str">
        <x:v>Small Business</x:v>
      </x:c>
      <x:c r="H298" t="str">
        <x:v>Website</x:v>
      </x:c>
      <x:c r="I298" t="str">
        <x:v>Wallet</x:v>
      </x:c>
      <x:c r="J298" t="n">
        <x:v>3</x:v>
      </x:c>
      <x:c r="K298" s="14" t="n">
        <x:v>1999</x:v>
      </x:c>
      <x:c r="L298" s="16" t="n">
        <x:v>0.1</x:v>
      </x:c>
      <x:c r="M298" t="str">
        <x:v>Simran</x:v>
      </x:c>
      <x:c r="N298" t="n">
        <x:v>6</x:v>
      </x:c>
      <x:c r="O298" s="18" t="n">
        <x:v>4.5</x:v>
      </x:c>
      <x:c r="P298" s="14" t="n">
        <x:f>J298*K298</x:f>
        <x:v>5997</x:v>
      </x:c>
      <x:c r="Q298" s="14" t="n">
        <x:f>P298*(1-L298)</x:f>
        <x:v>5397.3</x:v>
      </x:c>
      <x:c r="R298" s="14" t="n">
        <x:f>Q298*(0.24+MOD(ROW(),7)*0.005)</x:f>
        <x:v>1403.298</x:v>
      </x:c>
    </x:row>
    <x:row r="299">
      <x:c r="A299" s="12" t="n">
        <x:v>46341</x:v>
      </x:c>
      <x:c r="B299" t="str">
        <x:v>EC26-0298</x:v>
      </x:c>
      <x:c r="C299" t="str">
        <x:v>Maharashtra</x:v>
      </x:c>
      <x:c r="D299" t="str">
        <x:v>Mumbai</x:v>
      </x:c>
      <x:c r="E299" t="str">
        <x:v>Fashion</x:v>
      </x:c>
      <x:c r="F299" t="str">
        <x:v>Backpack</x:v>
      </x:c>
      <x:c r="G299" t="str">
        <x:v>Corporate</x:v>
      </x:c>
      <x:c r="H299" t="str">
        <x:v>Mobile App</x:v>
      </x:c>
      <x:c r="I299" t="str">
        <x:v>COD</x:v>
      </x:c>
      <x:c r="J299" t="n">
        <x:v>3</x:v>
      </x:c>
      <x:c r="K299" s="14" t="n">
        <x:v>1799</x:v>
      </x:c>
      <x:c r="L299" s="16" t="n">
        <x:v>0.05</x:v>
      </x:c>
      <x:c r="M299" t="str">
        <x:v>Kabir</x:v>
      </x:c>
      <x:c r="N299" t="n">
        <x:v>4</x:v>
      </x:c>
      <x:c r="O299" s="18" t="n">
        <x:v>4.5</x:v>
      </x:c>
      <x:c r="P299" s="14" t="n">
        <x:f>J299*K299</x:f>
        <x:v>5397</x:v>
      </x:c>
      <x:c r="Q299" s="14" t="n">
        <x:f>P299*(1-L299)</x:f>
        <x:v>5127.15</x:v>
      </x:c>
      <x:c r="R299" s="14" t="n">
        <x:f>Q299*(0.24+MOD(ROW(),7)*0.005)</x:f>
        <x:v>1358.6947499999999</x:v>
      </x:c>
    </x:row>
    <x:row r="300">
      <x:c r="A300" s="12" t="n">
        <x:v>46195</x:v>
      </x:c>
      <x:c r="B300" t="str">
        <x:v>EC26-0299</x:v>
      </x:c>
      <x:c r="C300" t="str">
        <x:v>Punjab</x:v>
      </x:c>
      <x:c r="D300" t="str">
        <x:v>Ludhiana</x:v>
      </x:c>
      <x:c r="E300" t="str">
        <x:v>Beauty</x:v>
      </x:c>
      <x:c r="F300" t="str">
        <x:v>Hair Dryer</x:v>
      </x:c>
      <x:c r="G300" t="str">
        <x:v>Corporate</x:v>
      </x:c>
      <x:c r="H300" t="str">
        <x:v>Website</x:v>
      </x:c>
      <x:c r="I300" t="str">
        <x:v>COD</x:v>
      </x:c>
      <x:c r="J300" t="n">
        <x:v>1</x:v>
      </x:c>
      <x:c r="K300" s="14" t="n">
        <x:v>1899</x:v>
      </x:c>
      <x:c r="L300" s="16" t="n">
        <x:v>0</x:v>
      </x:c>
      <x:c r="M300" t="str">
        <x:v>Ishita</x:v>
      </x:c>
      <x:c r="N300" t="n">
        <x:v>3</x:v>
      </x:c>
      <x:c r="O300" s="18" t="n">
        <x:v>4</x:v>
      </x:c>
      <x:c r="P300" s="14" t="n">
        <x:f>J300*K300</x:f>
        <x:v>1899</x:v>
      </x:c>
      <x:c r="Q300" s="14" t="n">
        <x:f>P300*(1-L300)</x:f>
        <x:v>1899</x:v>
      </x:c>
      <x:c r="R300" s="14" t="n">
        <x:f>Q300*(0.24+MOD(ROW(),7)*0.005)</x:f>
        <x:v>512.73</x:v>
      </x:c>
    </x:row>
    <x:row r="301">
      <x:c r="A301" s="12" t="n">
        <x:v>46196</x:v>
      </x:c>
      <x:c r="B301" t="str">
        <x:v>EC26-0300</x:v>
      </x:c>
      <x:c r="C301" t="str">
        <x:v>Maharashtra</x:v>
      </x:c>
      <x:c r="D301" t="str">
        <x:v>Mumbai</x:v>
      </x:c>
      <x:c r="E301" t="str">
        <x:v>Home</x:v>
      </x:c>
      <x:c r="F301" t="str">
        <x:v>Bedsheet Set</x:v>
      </x:c>
      <x:c r="G301" t="str">
        <x:v>Small Business</x:v>
      </x:c>
      <x:c r="H301" t="str">
        <x:v>Mobile App</x:v>
      </x:c>
      <x:c r="I301" t="str">
        <x:v>UPI</x:v>
      </x:c>
      <x:c r="J301" t="n">
        <x:v>1</x:v>
      </x:c>
      <x:c r="K301" s="14" t="n">
        <x:v>1499</x:v>
      </x:c>
      <x:c r="L301" s="16" t="n">
        <x:v>0</x:v>
      </x:c>
      <x:c r="M301" t="str">
        <x:v>Meera</x:v>
      </x:c>
      <x:c r="N301" t="n">
        <x:v>2</x:v>
      </x:c>
      <x:c r="O301" s="18" t="n">
        <x:v>4.5</x:v>
      </x:c>
      <x:c r="P301" s="14" t="n">
        <x:f>J301*K301</x:f>
        <x:v>1499</x:v>
      </x:c>
      <x:c r="Q301" s="14" t="n">
        <x:f>P301*(1-L301)</x:f>
        <x:v>1499</x:v>
      </x:c>
      <x:c r="R301" s="14" t="n">
        <x:f>Q301*(0.24+MOD(ROW(),7)*0.005)</x:f>
        <x:v>359.76</x:v>
      </x:c>
    </x:row>
  </x:sheetData>
  <x:pageMargins left="0.7" right="0.7" top="0.75" bottom="0.75" header="0.3" footer="0.3"/>
  <x:tableParts count="1">
    <x:tablePart xmlns:r="http://schemas.openxmlformats.org/officeDocument/2006/relationships" r:id="Rdf2bac6060ee424d"/>
  </x:tableParts>
</x:worksheet>
</file>