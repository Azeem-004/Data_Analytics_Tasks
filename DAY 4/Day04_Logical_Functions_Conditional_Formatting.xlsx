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bb1ded7e1145d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dfd67ffe0c254dec"/>
    <x:sheet xmlns:r="http://schemas.openxmlformats.org/officeDocument/2006/relationships" name="Sales_Data" sheetId="2" r:id="R4853c42521b84fe5"/>
    <x:sheet xmlns:r="http://schemas.openxmlformats.org/officeDocument/2006/relationships" name="Analysis" sheetId="3" r:id="Rde6b1aa47211497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-mmm-yyyy"/>
    <x:numFmt numFmtId="201" formatCode="₹#,##0"/>
    <x:numFmt numFmtId="202" formatCode="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F2937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</x:fills>
  <x:borders count="2">
    <x:border/>
    <x:border/>
  </x:borders>
  <x:cellStyleXfs count="1">
    <x:xf numFmtId="0" fontId="0" fillId="0" borderId="0"/>
  </x:cellStyleXfs>
  <x:cellXfs count="4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2" fillId="3" borderId="1" xfId="0" applyNumberFormat="1" applyFont="1" applyFill="1" applyBorder="1" applyAlignment="1">
      <x:alignment horizontal="left" vertical="center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2" fillId="3" borderId="1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horizontal="center"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</x:cellXfs>
  <x:cellStyles count="1">
    <x:cellStyle name="Normal" xfId="0"/>
  </x:cellStyles>
  <x:dxfs count="2">
    <x:dxf>
      <x:fill>
        <x:patternFill patternType="solid">
          <x:bgColor rgb="FFFFF2CC"/>
        </x:patternFill>
      </x:fill>
    </x:dxf>
    <x:dxf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e371b64760b4530" /><Relationship Type="http://schemas.openxmlformats.org/officeDocument/2006/relationships/theme" Target="/xl/theme/theme1.xml" Id="R15fd45e484b643c1" /><Relationship Type="http://schemas.openxmlformats.org/officeDocument/2006/relationships/sharedStrings" Target="/xl/sharedStrings.xml" Id="R4f3a167aa3fd4156" /><Relationship Type="http://schemas.openxmlformats.org/officeDocument/2006/relationships/worksheet" Target="/xl/worksheets/sheet1.xml" Id="Rdfd67ffe0c254dec" /><Relationship Type="http://schemas.openxmlformats.org/officeDocument/2006/relationships/worksheet" Target="/xl/worksheets/sheet2.xml" Id="R4853c42521b84fe5" /><Relationship Type="http://schemas.openxmlformats.org/officeDocument/2006/relationships/worksheet" Target="/xl/worksheets/sheet3.xml" Id="Rde6b1aa47211497f" /></Relationships>
</file>

<file path=xl/tables/table1.xml><?xml version="1.0" encoding="utf-8"?>
<x:table xmlns:x="http://schemas.openxmlformats.org/spreadsheetml/2006/main" id="1" name="SalesDataTable" displayName="SalesDataTable" ref="A4:L44" headerRowCount="1" totalsRowCount="0" totalsRowShown="0">
  <x:tableColumns count="12">
    <x:tableColumn id="1" name="Order ID"/>
    <x:tableColumn id="2" name="Date"/>
    <x:tableColumn id="3" name="Region"/>
    <x:tableColumn id="4" name="Category"/>
    <x:tableColumn id="5" name="Product"/>
    <x:tableColumn id="6" name="Quantity"/>
    <x:tableColumn id="7" name="Unit Price"/>
    <x:tableColumn id="8" name="Cost"/>
    <x:tableColumn id="9" name="Revenue"/>
    <x:tableColumn id="10" name="Status"/>
    <x:tableColumn id="11" name="Salesperson"/>
    <x:tableColumn id="12" name="Prof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3dfcd625c0e465e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0" hidden="0" customWidth="1"/>
  </x:cols>
  <x:sheetData>
    <x:row r="1" ht="28" customHeight="1">
      <x:c r="A1" s="5" t="str">
        <x:v>DAY 4 — Logical Functions &amp; Conditional Formatting</x:v>
      </x:c>
    </x:row>
    <x:row r="2" ht="24" customHeight="1">
      <x:c r="A2" s="18" t="str">
        <x:v>14-day Excel Data Analytics GitHub repository | Day 4</x:v>
      </x:c>
    </x:row>
    <x:row r="4">
      <x:c r="A4" s="24" t="str">
        <x:v>Section</x:v>
      </x:c>
      <x:c r="B4" s="24" t="str">
        <x:v>Details</x:v>
      </x:c>
    </x:row>
    <x:row r="5">
      <x:c r="A5" s="34" t="str">
        <x:v>Objective</x:v>
      </x:c>
      <x:c r="B5" s="32" t="str">
        <x:v>Classify orders and visually flag important records using IF, IFS, AND, OR and IFERROR.</x:v>
      </x:c>
    </x:row>
    <x:row r="6">
      <x:c r="A6" s="34" t="str">
        <x:v>Concepts</x:v>
      </x:c>
      <x:c r="B6" s="32" t="str">
        <x:v>IF, IFS, AND, OR, NOT, IFERROR, conditional formatting.</x:v>
      </x:c>
    </x:row>
    <x:row r="7">
      <x:c r="A7" s="34" t="str">
        <x:v>Practice Tasks</x:v>
      </x:c>
      <x:c r="B7" s="32" t="str">
        <x:v>1) Classify orders High/Medium/Low. 2) Flag Priority orders. 3) Apply data bars to Revenue and highlight Pending orders.</x:v>
      </x:c>
    </x:row>
    <x:row r="8">
      <x:c r="A8" s="34" t="str">
        <x:v>Source Alignment</x:v>
      </x:c>
      <x:c r="B8" s="32" t="str">
        <x:v>Based on the user-provided Unit1&amp;2.pdf, pages 9–11 (logical functions and conditional formatting).</x:v>
      </x:c>
    </x:row>
    <x:row r="9">
      <x:c r="A9" s="34" t="str">
        <x:v>GitHub Commit Suggestion</x:v>
      </x:c>
      <x:c r="B9" s="32" t="str">
        <x:v>Day 4: Logical Functions &amp; Conditional Formatting — Excel practice workbook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12" hidden="0" customWidth="1"/>
    <x:col min="4" max="4" width="15" hidden="0" customWidth="1"/>
    <x:col min="5" max="5" width="15" hidden="0" customWidth="1"/>
    <x:col min="6" max="6" width="10" hidden="0" customWidth="1"/>
    <x:col min="7" max="7" width="14" hidden="0" customWidth="1"/>
    <x:col min="8" max="8" width="14" hidden="0" customWidth="1"/>
    <x:col min="9" max="9" width="14" hidden="0" customWidth="1"/>
    <x:col min="10" max="10" width="12" hidden="0" customWidth="1"/>
    <x:col min="11" max="11" width="14" hidden="0" customWidth="1"/>
    <x:col min="12" max="12" width="14" hidden="0" customWidth="1"/>
  </x:cols>
  <x:sheetData>
    <x:row r="1" ht="28" customHeight="1">
      <x:c r="A1" s="5" t="str">
        <x:v>Sales Practice Dataset</x:v>
      </x:c>
    </x:row>
    <x:row r="2" ht="24" customHeight="1">
      <x:c r="A2" s="18" t="str">
        <x:v>Extended practice data using the same fields and logic as the PDF case study.</x:v>
      </x:c>
    </x:row>
    <x:row r="4">
      <x:c r="A4" s="24" t="str">
        <x:v>Order ID</x:v>
      </x:c>
      <x:c r="B4" s="24" t="str">
        <x:v>Date</x:v>
      </x:c>
      <x:c r="C4" s="24" t="str">
        <x:v>Region</x:v>
      </x:c>
      <x:c r="D4" s="24" t="str">
        <x:v>Category</x:v>
      </x:c>
      <x:c r="E4" s="24" t="str">
        <x:v>Product</x:v>
      </x:c>
      <x:c r="F4" s="24" t="str">
        <x:v>Quantity</x:v>
      </x:c>
      <x:c r="G4" s="24" t="str">
        <x:v>Unit Price</x:v>
      </x:c>
      <x:c r="H4" s="24" t="str">
        <x:v>Cost</x:v>
      </x:c>
      <x:c r="I4" s="24" t="str">
        <x:v>Revenue</x:v>
      </x:c>
      <x:c r="J4" s="24" t="str">
        <x:v>Status</x:v>
      </x:c>
      <x:c r="K4" s="24" t="str">
        <x:v>Salesperson</x:v>
      </x:c>
      <x:c r="L4" s="24" t="str">
        <x:v>Profit</x:v>
      </x:c>
    </x:row>
    <x:row r="5">
      <x:c r="A5" t="str">
        <x:v>O101</x:v>
      </x:c>
      <x:c r="B5" s="36" t="n">
        <x:v>46023</x:v>
      </x:c>
      <x:c r="C5" t="str">
        <x:v>North</x:v>
      </x:c>
      <x:c r="D5" t="str">
        <x:v>Electronics</x:v>
      </x:c>
      <x:c r="E5" t="str">
        <x:v>Laptop</x:v>
      </x:c>
      <x:c r="F5" s="40" t="n">
        <x:v>2</x:v>
      </x:c>
      <x:c r="G5" s="38" t="n">
        <x:v>55000</x:v>
      </x:c>
      <x:c r="H5" s="38" t="n">
        <x:v>94000</x:v>
      </x:c>
      <x:c r="I5" s="38" t="n">
        <x:v>110000</x:v>
      </x:c>
      <x:c r="J5" t="str">
        <x:v>Completed</x:v>
      </x:c>
      <x:c r="K5" t="str">
        <x:v>Aman</x:v>
      </x:c>
      <x:c r="L5" s="38" t="n">
        <x:v>16000</x:v>
      </x:c>
    </x:row>
    <x:row r="6">
      <x:c r="A6" t="str">
        <x:v>O102</x:v>
      </x:c>
      <x:c r="B6" s="36" t="n">
        <x:v>46025</x:v>
      </x:c>
      <x:c r="C6" t="str">
        <x:v>South</x:v>
      </x:c>
      <x:c r="D6" t="str">
        <x:v>Accessories</x:v>
      </x:c>
      <x:c r="E6" t="str">
        <x:v>Mouse</x:v>
      </x:c>
      <x:c r="F6" s="40" t="n">
        <x:v>5</x:v>
      </x:c>
      <x:c r="G6" s="38" t="n">
        <x:v>1200</x:v>
      </x:c>
      <x:c r="H6" s="38" t="n">
        <x:v>3500</x:v>
      </x:c>
      <x:c r="I6" s="38" t="n">
        <x:v>6000</x:v>
      </x:c>
      <x:c r="J6" t="str">
        <x:v>Completed</x:v>
      </x:c>
      <x:c r="K6" t="str">
        <x:v>Riya</x:v>
      </x:c>
      <x:c r="L6" s="38" t="n">
        <x:v>2500</x:v>
      </x:c>
    </x:row>
    <x:row r="7">
      <x:c r="A7" t="str">
        <x:v>O103</x:v>
      </x:c>
      <x:c r="B7" s="36" t="n">
        <x:v>46027</x:v>
      </x:c>
      <x:c r="C7" t="str">
        <x:v>North</x:v>
      </x:c>
      <x:c r="D7" t="str">
        <x:v>Accessories</x:v>
      </x:c>
      <x:c r="E7" t="str">
        <x:v>Keyboard</x:v>
      </x:c>
      <x:c r="F7" s="40" t="n">
        <x:v>3</x:v>
      </x:c>
      <x:c r="G7" s="38" t="n">
        <x:v>2500</x:v>
      </x:c>
      <x:c r="H7" s="38" t="n">
        <x:v>4500</x:v>
      </x:c>
      <x:c r="I7" s="38" t="n">
        <x:v>7500</x:v>
      </x:c>
      <x:c r="J7" t="str">
        <x:v>Pending</x:v>
      </x:c>
      <x:c r="K7" t="str">
        <x:v>Rahul</x:v>
      </x:c>
      <x:c r="L7" s="38" t="n">
        <x:v>3000</x:v>
      </x:c>
    </x:row>
    <x:row r="8">
      <x:c r="A8" t="str">
        <x:v>O104</x:v>
      </x:c>
      <x:c r="B8" s="36" t="n">
        <x:v>46061</x:v>
      </x:c>
      <x:c r="C8" t="str">
        <x:v>West</x:v>
      </x:c>
      <x:c r="D8" t="str">
        <x:v>Electronics</x:v>
      </x:c>
      <x:c r="E8" t="str">
        <x:v>Laptop</x:v>
      </x:c>
      <x:c r="F8" s="40" t="n">
        <x:v>1</x:v>
      </x:c>
      <x:c r="G8" s="38" t="n">
        <x:v>55000</x:v>
      </x:c>
      <x:c r="H8" s="38" t="n">
        <x:v>47000</x:v>
      </x:c>
      <x:c r="I8" s="38" t="n">
        <x:v>55000</x:v>
      </x:c>
      <x:c r="J8" t="str">
        <x:v>Completed</x:v>
      </x:c>
      <x:c r="K8" t="str">
        <x:v>Neha</x:v>
      </x:c>
      <x:c r="L8" s="38" t="n">
        <x:v>8000</x:v>
      </x:c>
    </x:row>
    <x:row r="9">
      <x:c r="A9" t="str">
        <x:v>O105</x:v>
      </x:c>
      <x:c r="B9" s="36" t="n">
        <x:v>46065</x:v>
      </x:c>
      <x:c r="C9" t="str">
        <x:v>South</x:v>
      </x:c>
      <x:c r="D9" t="str">
        <x:v>Electronics</x:v>
      </x:c>
      <x:c r="E9" t="str">
        <x:v>Monitor</x:v>
      </x:c>
      <x:c r="F9" s="40" t="n">
        <x:v>2</x:v>
      </x:c>
      <x:c r="G9" s="38" t="n">
        <x:v>18000</x:v>
      </x:c>
      <x:c r="H9" s="38" t="n">
        <x:v>29000</x:v>
      </x:c>
      <x:c r="I9" s="38" t="n">
        <x:v>36000</x:v>
      </x:c>
      <x:c r="J9" t="str">
        <x:v>Completed</x:v>
      </x:c>
      <x:c r="K9" t="str">
        <x:v>Aman</x:v>
      </x:c>
      <x:c r="L9" s="38" t="n">
        <x:v>7000</x:v>
      </x:c>
    </x:row>
    <x:row r="10">
      <x:c r="A10" t="str">
        <x:v>O106</x:v>
      </x:c>
      <x:c r="B10" s="36" t="n">
        <x:v>46098</x:v>
      </x:c>
      <x:c r="C10" t="str">
        <x:v>North</x:v>
      </x:c>
      <x:c r="D10" t="str">
        <x:v>Accessories</x:v>
      </x:c>
      <x:c r="E10" t="str">
        <x:v>Mouse</x:v>
      </x:c>
      <x:c r="F10" s="40" t="n">
        <x:v>10</x:v>
      </x:c>
      <x:c r="G10" s="38" t="n">
        <x:v>1200</x:v>
      </x:c>
      <x:c r="H10" s="38" t="n">
        <x:v>7000</x:v>
      </x:c>
      <x:c r="I10" s="38" t="n">
        <x:v>12000</x:v>
      </x:c>
      <x:c r="J10" t="str">
        <x:v>Completed</x:v>
      </x:c>
      <x:c r="K10" t="str">
        <x:v>Riya</x:v>
      </x:c>
      <x:c r="L10" s="38" t="n">
        <x:v>5000</x:v>
      </x:c>
    </x:row>
    <x:row r="11">
      <x:c r="A11" t="str">
        <x:v>O107</x:v>
      </x:c>
      <x:c r="B11" s="36" t="n">
        <x:v>46102</x:v>
      </x:c>
      <x:c r="C11" t="str">
        <x:v>West</x:v>
      </x:c>
      <x:c r="D11" t="str">
        <x:v>Accessories</x:v>
      </x:c>
      <x:c r="E11" t="str">
        <x:v>Keyboard</x:v>
      </x:c>
      <x:c r="F11" s="40" t="n">
        <x:v>4</x:v>
      </x:c>
      <x:c r="G11" s="38" t="n">
        <x:v>2500</x:v>
      </x:c>
      <x:c r="H11" s="38" t="n">
        <x:v>6000</x:v>
      </x:c>
      <x:c r="I11" s="38" t="n">
        <x:v>10000</x:v>
      </x:c>
      <x:c r="J11" t="str">
        <x:v>Pending</x:v>
      </x:c>
      <x:c r="K11" t="str">
        <x:v>Rahul</x:v>
      </x:c>
      <x:c r="L11" s="38" t="n">
        <x:v>4000</x:v>
      </x:c>
    </x:row>
    <x:row r="12">
      <x:c r="A12" t="str">
        <x:v>O108</x:v>
      </x:c>
      <x:c r="B12" s="36" t="n">
        <x:v>46114</x:v>
      </x:c>
      <x:c r="C12" t="str">
        <x:v>East</x:v>
      </x:c>
      <x:c r="D12" t="str">
        <x:v>Electronics</x:v>
      </x:c>
      <x:c r="E12" t="str">
        <x:v>Laptop</x:v>
      </x:c>
      <x:c r="F12" s="40" t="n">
        <x:v>2</x:v>
      </x:c>
      <x:c r="G12" s="38" t="n">
        <x:v>55000</x:v>
      </x:c>
      <x:c r="H12" s="38" t="n">
        <x:v>94000</x:v>
      </x:c>
      <x:c r="I12" s="38" t="n">
        <x:v>110000</x:v>
      </x:c>
      <x:c r="J12" t="str">
        <x:v>Completed</x:v>
      </x:c>
      <x:c r="K12" t="str">
        <x:v>Neha</x:v>
      </x:c>
      <x:c r="L12" s="38" t="n">
        <x:v>16000</x:v>
      </x:c>
    </x:row>
    <x:row r="13">
      <x:c r="A13" t="str">
        <x:v>O009</x:v>
      </x:c>
      <x:c r="B13" s="36" t="n">
        <x:v>46122</x:v>
      </x:c>
      <x:c r="C13" t="str">
        <x:v>North</x:v>
      </x:c>
      <x:c r="D13" t="str">
        <x:v>Electronics</x:v>
      </x:c>
      <x:c r="E13" t="str">
        <x:v>Laptop</x:v>
      </x:c>
      <x:c r="F13" s="40" t="n">
        <x:v>1</x:v>
      </x:c>
      <x:c r="G13" s="38" t="n">
        <x:v>55000</x:v>
      </x:c>
      <x:c r="H13" s="38" t="n">
        <x:v>47000</x:v>
      </x:c>
      <x:c r="I13" s="38" t="n">
        <x:v>55000</x:v>
      </x:c>
      <x:c r="J13" t="str">
        <x:v>Completed</x:v>
      </x:c>
      <x:c r="K13" t="str">
        <x:v>Aman</x:v>
      </x:c>
      <x:c r="L13" s="38" t="n">
        <x:v>8000</x:v>
      </x:c>
    </x:row>
    <x:row r="14">
      <x:c r="A14" t="str">
        <x:v>O010</x:v>
      </x:c>
      <x:c r="B14" s="36" t="n">
        <x:v>46127</x:v>
      </x:c>
      <x:c r="C14" t="str">
        <x:v>South</x:v>
      </x:c>
      <x:c r="D14" t="str">
        <x:v>Accessories</x:v>
      </x:c>
      <x:c r="E14" t="str">
        <x:v>Mouse</x:v>
      </x:c>
      <x:c r="F14" s="40" t="n">
        <x:v>2</x:v>
      </x:c>
      <x:c r="G14" s="38" t="n">
        <x:v>1200</x:v>
      </x:c>
      <x:c r="H14" s="38" t="n">
        <x:v>1400</x:v>
      </x:c>
      <x:c r="I14" s="38" t="n">
        <x:v>2400</x:v>
      </x:c>
      <x:c r="J14" t="str">
        <x:v>Pending</x:v>
      </x:c>
      <x:c r="K14" t="str">
        <x:v>Riya</x:v>
      </x:c>
      <x:c r="L14" s="38" t="n">
        <x:v>1000</x:v>
      </x:c>
    </x:row>
    <x:row r="15">
      <x:c r="A15" t="str">
        <x:v>O011</x:v>
      </x:c>
      <x:c r="B15" s="36" t="n">
        <x:v>46132</x:v>
      </x:c>
      <x:c r="C15" t="str">
        <x:v>East</x:v>
      </x:c>
      <x:c r="D15" t="str">
        <x:v>Accessories</x:v>
      </x:c>
      <x:c r="E15" t="str">
        <x:v>Keyboard</x:v>
      </x:c>
      <x:c r="F15" s="40" t="n">
        <x:v>3</x:v>
      </x:c>
      <x:c r="G15" s="38" t="n">
        <x:v>2500</x:v>
      </x:c>
      <x:c r="H15" s="38" t="n">
        <x:v>4500</x:v>
      </x:c>
      <x:c r="I15" s="38" t="n">
        <x:v>7500</x:v>
      </x:c>
      <x:c r="J15" t="str">
        <x:v>Cancelled</x:v>
      </x:c>
      <x:c r="K15" t="str">
        <x:v>Rahul</x:v>
      </x:c>
      <x:c r="L15" s="38" t="n">
        <x:v>3000</x:v>
      </x:c>
    </x:row>
    <x:row r="16">
      <x:c r="A16" t="str">
        <x:v>O012</x:v>
      </x:c>
      <x:c r="B16" s="36" t="n">
        <x:v>46137</x:v>
      </x:c>
      <x:c r="C16" t="str">
        <x:v>West</x:v>
      </x:c>
      <x:c r="D16" t="str">
        <x:v>Electronics</x:v>
      </x:c>
      <x:c r="E16" t="str">
        <x:v>Monitor</x:v>
      </x:c>
      <x:c r="F16" s="40" t="n">
        <x:v>4</x:v>
      </x:c>
      <x:c r="G16" s="38" t="n">
        <x:v>18000</x:v>
      </x:c>
      <x:c r="H16" s="38" t="n">
        <x:v>58000</x:v>
      </x:c>
      <x:c r="I16" s="38" t="n">
        <x:v>72000</x:v>
      </x:c>
      <x:c r="J16" t="str">
        <x:v>Completed</x:v>
      </x:c>
      <x:c r="K16" t="str">
        <x:v>Neha</x:v>
      </x:c>
      <x:c r="L16" s="38" t="n">
        <x:v>14000</x:v>
      </x:c>
    </x:row>
    <x:row r="17">
      <x:c r="A17" t="str">
        <x:v>O013</x:v>
      </x:c>
      <x:c r="B17" s="36" t="n">
        <x:v>46142</x:v>
      </x:c>
      <x:c r="C17" t="str">
        <x:v>North</x:v>
      </x:c>
      <x:c r="D17" t="str">
        <x:v>Accessories</x:v>
      </x:c>
      <x:c r="E17" t="str">
        <x:v>Headphones</x:v>
      </x:c>
      <x:c r="F17" s="40" t="n">
        <x:v>5</x:v>
      </x:c>
      <x:c r="G17" s="38" t="n">
        <x:v>3500</x:v>
      </x:c>
      <x:c r="H17" s="38" t="n">
        <x:v>11000</x:v>
      </x:c>
      <x:c r="I17" s="38" t="n">
        <x:v>17500</x:v>
      </x:c>
      <x:c r="J17" t="str">
        <x:v>Pending</x:v>
      </x:c>
      <x:c r="K17" t="str">
        <x:v>Aman</x:v>
      </x:c>
      <x:c r="L17" s="38" t="n">
        <x:v>6500</x:v>
      </x:c>
    </x:row>
    <x:row r="18">
      <x:c r="A18" t="str">
        <x:v>O014</x:v>
      </x:c>
      <x:c r="B18" s="36" t="n">
        <x:v>46147</x:v>
      </x:c>
      <x:c r="C18" t="str">
        <x:v>South</x:v>
      </x:c>
      <x:c r="D18" t="str">
        <x:v>Electronics</x:v>
      </x:c>
      <x:c r="E18" t="str">
        <x:v>Printer</x:v>
      </x:c>
      <x:c r="F18" s="40" t="n">
        <x:v>6</x:v>
      </x:c>
      <x:c r="G18" s="38" t="n">
        <x:v>12000</x:v>
      </x:c>
      <x:c r="H18" s="38" t="n">
        <x:v>57000</x:v>
      </x:c>
      <x:c r="I18" s="38" t="n">
        <x:v>72000</x:v>
      </x:c>
      <x:c r="J18" t="str">
        <x:v>Cancelled</x:v>
      </x:c>
      <x:c r="K18" t="str">
        <x:v>Riya</x:v>
      </x:c>
      <x:c r="L18" s="38" t="n">
        <x:v>15000</x:v>
      </x:c>
    </x:row>
    <x:row r="19">
      <x:c r="A19" t="str">
        <x:v>O015</x:v>
      </x:c>
      <x:c r="B19" s="36" t="n">
        <x:v>46152</x:v>
      </x:c>
      <x:c r="C19" t="str">
        <x:v>East</x:v>
      </x:c>
      <x:c r="D19" t="str">
        <x:v>Electronics</x:v>
      </x:c>
      <x:c r="E19" t="str">
        <x:v>Laptop</x:v>
      </x:c>
      <x:c r="F19" s="40" t="n">
        <x:v>1</x:v>
      </x:c>
      <x:c r="G19" s="38" t="n">
        <x:v>55000</x:v>
      </x:c>
      <x:c r="H19" s="38" t="n">
        <x:v>47000</x:v>
      </x:c>
      <x:c r="I19" s="38" t="n">
        <x:v>55000</x:v>
      </x:c>
      <x:c r="J19" t="str">
        <x:v>Completed</x:v>
      </x:c>
      <x:c r="K19" t="str">
        <x:v>Rahul</x:v>
      </x:c>
      <x:c r="L19" s="38" t="n">
        <x:v>8000</x:v>
      </x:c>
    </x:row>
    <x:row r="20">
      <x:c r="A20" t="str">
        <x:v>O016</x:v>
      </x:c>
      <x:c r="B20" s="36" t="n">
        <x:v>46157</x:v>
      </x:c>
      <x:c r="C20" t="str">
        <x:v>West</x:v>
      </x:c>
      <x:c r="D20" t="str">
        <x:v>Accessories</x:v>
      </x:c>
      <x:c r="E20" t="str">
        <x:v>Mouse</x:v>
      </x:c>
      <x:c r="F20" s="40" t="n">
        <x:v>2</x:v>
      </x:c>
      <x:c r="G20" s="38" t="n">
        <x:v>1200</x:v>
      </x:c>
      <x:c r="H20" s="38" t="n">
        <x:v>1400</x:v>
      </x:c>
      <x:c r="I20" s="38" t="n">
        <x:v>2400</x:v>
      </x:c>
      <x:c r="J20" t="str">
        <x:v>Pending</x:v>
      </x:c>
      <x:c r="K20" t="str">
        <x:v>Neha</x:v>
      </x:c>
      <x:c r="L20" s="38" t="n">
        <x:v>1000</x:v>
      </x:c>
    </x:row>
    <x:row r="21">
      <x:c r="A21" t="str">
        <x:v>O017</x:v>
      </x:c>
      <x:c r="B21" s="36" t="n">
        <x:v>46162</x:v>
      </x:c>
      <x:c r="C21" t="str">
        <x:v>North</x:v>
      </x:c>
      <x:c r="D21" t="str">
        <x:v>Accessories</x:v>
      </x:c>
      <x:c r="E21" t="str">
        <x:v>Keyboard</x:v>
      </x:c>
      <x:c r="F21" s="40" t="n">
        <x:v>3</x:v>
      </x:c>
      <x:c r="G21" s="38" t="n">
        <x:v>2500</x:v>
      </x:c>
      <x:c r="H21" s="38" t="n">
        <x:v>4500</x:v>
      </x:c>
      <x:c r="I21" s="38" t="n">
        <x:v>7500</x:v>
      </x:c>
      <x:c r="J21" t="str">
        <x:v>Cancelled</x:v>
      </x:c>
      <x:c r="K21" t="str">
        <x:v>Aman</x:v>
      </x:c>
      <x:c r="L21" s="38" t="n">
        <x:v>3000</x:v>
      </x:c>
    </x:row>
    <x:row r="22">
      <x:c r="A22" t="str">
        <x:v>O018</x:v>
      </x:c>
      <x:c r="B22" s="36" t="n">
        <x:v>46167</x:v>
      </x:c>
      <x:c r="C22" t="str">
        <x:v>South</x:v>
      </x:c>
      <x:c r="D22" t="str">
        <x:v>Electronics</x:v>
      </x:c>
      <x:c r="E22" t="str">
        <x:v>Monitor</x:v>
      </x:c>
      <x:c r="F22" s="40" t="n">
        <x:v>4</x:v>
      </x:c>
      <x:c r="G22" s="38" t="n">
        <x:v>18000</x:v>
      </x:c>
      <x:c r="H22" s="38" t="n">
        <x:v>58000</x:v>
      </x:c>
      <x:c r="I22" s="38" t="n">
        <x:v>72000</x:v>
      </x:c>
      <x:c r="J22" t="str">
        <x:v>Completed</x:v>
      </x:c>
      <x:c r="K22" t="str">
        <x:v>Riya</x:v>
      </x:c>
      <x:c r="L22" s="38" t="n">
        <x:v>14000</x:v>
      </x:c>
    </x:row>
    <x:row r="23">
      <x:c r="A23" t="str">
        <x:v>O019</x:v>
      </x:c>
      <x:c r="B23" s="36" t="n">
        <x:v>46172</x:v>
      </x:c>
      <x:c r="C23" t="str">
        <x:v>East</x:v>
      </x:c>
      <x:c r="D23" t="str">
        <x:v>Accessories</x:v>
      </x:c>
      <x:c r="E23" t="str">
        <x:v>Headphones</x:v>
      </x:c>
      <x:c r="F23" s="40" t="n">
        <x:v>5</x:v>
      </x:c>
      <x:c r="G23" s="38" t="n">
        <x:v>3500</x:v>
      </x:c>
      <x:c r="H23" s="38" t="n">
        <x:v>11000</x:v>
      </x:c>
      <x:c r="I23" s="38" t="n">
        <x:v>17500</x:v>
      </x:c>
      <x:c r="J23" t="str">
        <x:v>Pending</x:v>
      </x:c>
      <x:c r="K23" t="str">
        <x:v>Rahul</x:v>
      </x:c>
      <x:c r="L23" s="38" t="n">
        <x:v>6500</x:v>
      </x:c>
    </x:row>
    <x:row r="24">
      <x:c r="A24" t="str">
        <x:v>O020</x:v>
      </x:c>
      <x:c r="B24" s="36" t="n">
        <x:v>46177</x:v>
      </x:c>
      <x:c r="C24" t="str">
        <x:v>West</x:v>
      </x:c>
      <x:c r="D24" t="str">
        <x:v>Electronics</x:v>
      </x:c>
      <x:c r="E24" t="str">
        <x:v>Printer</x:v>
      </x:c>
      <x:c r="F24" s="40" t="n">
        <x:v>6</x:v>
      </x:c>
      <x:c r="G24" s="38" t="n">
        <x:v>12000</x:v>
      </x:c>
      <x:c r="H24" s="38" t="n">
        <x:v>57000</x:v>
      </x:c>
      <x:c r="I24" s="38" t="n">
        <x:v>72000</x:v>
      </x:c>
      <x:c r="J24" t="str">
        <x:v>Cancelled</x:v>
      </x:c>
      <x:c r="K24" t="str">
        <x:v>Neha</x:v>
      </x:c>
      <x:c r="L24" s="38" t="n">
        <x:v>15000</x:v>
      </x:c>
    </x:row>
    <x:row r="25">
      <x:c r="A25" t="str">
        <x:v>O021</x:v>
      </x:c>
      <x:c r="B25" s="36" t="n">
        <x:v>46182</x:v>
      </x:c>
      <x:c r="C25" t="str">
        <x:v>North</x:v>
      </x:c>
      <x:c r="D25" t="str">
        <x:v>Electronics</x:v>
      </x:c>
      <x:c r="E25" t="str">
        <x:v>Laptop</x:v>
      </x:c>
      <x:c r="F25" s="40" t="n">
        <x:v>1</x:v>
      </x:c>
      <x:c r="G25" s="38" t="n">
        <x:v>55000</x:v>
      </x:c>
      <x:c r="H25" s="38" t="n">
        <x:v>47000</x:v>
      </x:c>
      <x:c r="I25" s="38" t="n">
        <x:v>55000</x:v>
      </x:c>
      <x:c r="J25" t="str">
        <x:v>Completed</x:v>
      </x:c>
      <x:c r="K25" t="str">
        <x:v>Aman</x:v>
      </x:c>
      <x:c r="L25" s="38" t="n">
        <x:v>8000</x:v>
      </x:c>
    </x:row>
    <x:row r="26">
      <x:c r="A26" t="str">
        <x:v>O022</x:v>
      </x:c>
      <x:c r="B26" s="36" t="n">
        <x:v>46187</x:v>
      </x:c>
      <x:c r="C26" t="str">
        <x:v>South</x:v>
      </x:c>
      <x:c r="D26" t="str">
        <x:v>Accessories</x:v>
      </x:c>
      <x:c r="E26" t="str">
        <x:v>Mouse</x:v>
      </x:c>
      <x:c r="F26" s="40" t="n">
        <x:v>2</x:v>
      </x:c>
      <x:c r="G26" s="38" t="n">
        <x:v>1200</x:v>
      </x:c>
      <x:c r="H26" s="38" t="n">
        <x:v>1400</x:v>
      </x:c>
      <x:c r="I26" s="38" t="n">
        <x:v>2400</x:v>
      </x:c>
      <x:c r="J26" t="str">
        <x:v>Pending</x:v>
      </x:c>
      <x:c r="K26" t="str">
        <x:v>Riya</x:v>
      </x:c>
      <x:c r="L26" s="38" t="n">
        <x:v>1000</x:v>
      </x:c>
    </x:row>
    <x:row r="27">
      <x:c r="A27" t="str">
        <x:v>O023</x:v>
      </x:c>
      <x:c r="B27" s="36" t="n">
        <x:v>46192</x:v>
      </x:c>
      <x:c r="C27" t="str">
        <x:v>East</x:v>
      </x:c>
      <x:c r="D27" t="str">
        <x:v>Accessories</x:v>
      </x:c>
      <x:c r="E27" t="str">
        <x:v>Keyboard</x:v>
      </x:c>
      <x:c r="F27" s="40" t="n">
        <x:v>3</x:v>
      </x:c>
      <x:c r="G27" s="38" t="n">
        <x:v>2500</x:v>
      </x:c>
      <x:c r="H27" s="38" t="n">
        <x:v>4500</x:v>
      </x:c>
      <x:c r="I27" s="38" t="n">
        <x:v>7500</x:v>
      </x:c>
      <x:c r="J27" t="str">
        <x:v>Cancelled</x:v>
      </x:c>
      <x:c r="K27" t="str">
        <x:v>Rahul</x:v>
      </x:c>
      <x:c r="L27" s="38" t="n">
        <x:v>3000</x:v>
      </x:c>
    </x:row>
    <x:row r="28">
      <x:c r="A28" t="str">
        <x:v>O024</x:v>
      </x:c>
      <x:c r="B28" s="36" t="n">
        <x:v>46197</x:v>
      </x:c>
      <x:c r="C28" t="str">
        <x:v>West</x:v>
      </x:c>
      <x:c r="D28" t="str">
        <x:v>Electronics</x:v>
      </x:c>
      <x:c r="E28" t="str">
        <x:v>Monitor</x:v>
      </x:c>
      <x:c r="F28" s="40" t="n">
        <x:v>4</x:v>
      </x:c>
      <x:c r="G28" s="38" t="n">
        <x:v>18000</x:v>
      </x:c>
      <x:c r="H28" s="38" t="n">
        <x:v>58000</x:v>
      </x:c>
      <x:c r="I28" s="38" t="n">
        <x:v>72000</x:v>
      </x:c>
      <x:c r="J28" t="str">
        <x:v>Completed</x:v>
      </x:c>
      <x:c r="K28" t="str">
        <x:v>Neha</x:v>
      </x:c>
      <x:c r="L28" s="38" t="n">
        <x:v>14000</x:v>
      </x:c>
    </x:row>
    <x:row r="29">
      <x:c r="A29" t="str">
        <x:v>O025</x:v>
      </x:c>
      <x:c r="B29" s="36" t="n">
        <x:v>46202</x:v>
      </x:c>
      <x:c r="C29" t="str">
        <x:v>North</x:v>
      </x:c>
      <x:c r="D29" t="str">
        <x:v>Accessories</x:v>
      </x:c>
      <x:c r="E29" t="str">
        <x:v>Headphones</x:v>
      </x:c>
      <x:c r="F29" s="40" t="n">
        <x:v>5</x:v>
      </x:c>
      <x:c r="G29" s="38" t="n">
        <x:v>3500</x:v>
      </x:c>
      <x:c r="H29" s="38" t="n">
        <x:v>11000</x:v>
      </x:c>
      <x:c r="I29" s="38" t="n">
        <x:v>17500</x:v>
      </x:c>
      <x:c r="J29" t="str">
        <x:v>Pending</x:v>
      </x:c>
      <x:c r="K29" t="str">
        <x:v>Aman</x:v>
      </x:c>
      <x:c r="L29" s="38" t="n">
        <x:v>6500</x:v>
      </x:c>
    </x:row>
    <x:row r="30">
      <x:c r="A30" t="str">
        <x:v>O026</x:v>
      </x:c>
      <x:c r="B30" s="36" t="n">
        <x:v>46207</x:v>
      </x:c>
      <x:c r="C30" t="str">
        <x:v>South</x:v>
      </x:c>
      <x:c r="D30" t="str">
        <x:v>Electronics</x:v>
      </x:c>
      <x:c r="E30" t="str">
        <x:v>Printer</x:v>
      </x:c>
      <x:c r="F30" s="40" t="n">
        <x:v>6</x:v>
      </x:c>
      <x:c r="G30" s="38" t="n">
        <x:v>12000</x:v>
      </x:c>
      <x:c r="H30" s="38" t="n">
        <x:v>57000</x:v>
      </x:c>
      <x:c r="I30" s="38" t="n">
        <x:v>72000</x:v>
      </x:c>
      <x:c r="J30" t="str">
        <x:v>Cancelled</x:v>
      </x:c>
      <x:c r="K30" t="str">
        <x:v>Riya</x:v>
      </x:c>
      <x:c r="L30" s="38" t="n">
        <x:v>15000</x:v>
      </x:c>
    </x:row>
    <x:row r="31">
      <x:c r="A31" t="str">
        <x:v>O027</x:v>
      </x:c>
      <x:c r="B31" s="36" t="n">
        <x:v>46212</x:v>
      </x:c>
      <x:c r="C31" t="str">
        <x:v>East</x:v>
      </x:c>
      <x:c r="D31" t="str">
        <x:v>Electronics</x:v>
      </x:c>
      <x:c r="E31" t="str">
        <x:v>Laptop</x:v>
      </x:c>
      <x:c r="F31" s="40" t="n">
        <x:v>1</x:v>
      </x:c>
      <x:c r="G31" s="38" t="n">
        <x:v>55000</x:v>
      </x:c>
      <x:c r="H31" s="38" t="n">
        <x:v>47000</x:v>
      </x:c>
      <x:c r="I31" s="38" t="n">
        <x:v>55000</x:v>
      </x:c>
      <x:c r="J31" t="str">
        <x:v>Completed</x:v>
      </x:c>
      <x:c r="K31" t="str">
        <x:v>Rahul</x:v>
      </x:c>
      <x:c r="L31" s="38" t="n">
        <x:v>8000</x:v>
      </x:c>
    </x:row>
    <x:row r="32">
      <x:c r="A32" t="str">
        <x:v>O028</x:v>
      </x:c>
      <x:c r="B32" s="36" t="n">
        <x:v>46217</x:v>
      </x:c>
      <x:c r="C32" t="str">
        <x:v>West</x:v>
      </x:c>
      <x:c r="D32" t="str">
        <x:v>Accessories</x:v>
      </x:c>
      <x:c r="E32" t="str">
        <x:v>Mouse</x:v>
      </x:c>
      <x:c r="F32" s="40" t="n">
        <x:v>2</x:v>
      </x:c>
      <x:c r="G32" s="38" t="n">
        <x:v>1200</x:v>
      </x:c>
      <x:c r="H32" s="38" t="n">
        <x:v>1400</x:v>
      </x:c>
      <x:c r="I32" s="38" t="n">
        <x:v>2400</x:v>
      </x:c>
      <x:c r="J32" t="str">
        <x:v>Pending</x:v>
      </x:c>
      <x:c r="K32" t="str">
        <x:v>Neha</x:v>
      </x:c>
      <x:c r="L32" s="38" t="n">
        <x:v>1000</x:v>
      </x:c>
    </x:row>
    <x:row r="33">
      <x:c r="A33" t="str">
        <x:v>O029</x:v>
      </x:c>
      <x:c r="B33" s="36" t="n">
        <x:v>46222</x:v>
      </x:c>
      <x:c r="C33" t="str">
        <x:v>North</x:v>
      </x:c>
      <x:c r="D33" t="str">
        <x:v>Accessories</x:v>
      </x:c>
      <x:c r="E33" t="str">
        <x:v>Keyboard</x:v>
      </x:c>
      <x:c r="F33" s="40" t="n">
        <x:v>3</x:v>
      </x:c>
      <x:c r="G33" s="38" t="n">
        <x:v>2500</x:v>
      </x:c>
      <x:c r="H33" s="38" t="n">
        <x:v>4500</x:v>
      </x:c>
      <x:c r="I33" s="38" t="n">
        <x:v>7500</x:v>
      </x:c>
      <x:c r="J33" t="str">
        <x:v>Cancelled</x:v>
      </x:c>
      <x:c r="K33" t="str">
        <x:v>Aman</x:v>
      </x:c>
      <x:c r="L33" s="38" t="n">
        <x:v>3000</x:v>
      </x:c>
    </x:row>
    <x:row r="34">
      <x:c r="A34" t="str">
        <x:v>O030</x:v>
      </x:c>
      <x:c r="B34" s="36" t="n">
        <x:v>46227</x:v>
      </x:c>
      <x:c r="C34" t="str">
        <x:v>South</x:v>
      </x:c>
      <x:c r="D34" t="str">
        <x:v>Electronics</x:v>
      </x:c>
      <x:c r="E34" t="str">
        <x:v>Monitor</x:v>
      </x:c>
      <x:c r="F34" s="40" t="n">
        <x:v>4</x:v>
      </x:c>
      <x:c r="G34" s="38" t="n">
        <x:v>18000</x:v>
      </x:c>
      <x:c r="H34" s="38" t="n">
        <x:v>58000</x:v>
      </x:c>
      <x:c r="I34" s="38" t="n">
        <x:v>72000</x:v>
      </x:c>
      <x:c r="J34" t="str">
        <x:v>Completed</x:v>
      </x:c>
      <x:c r="K34" t="str">
        <x:v>Riya</x:v>
      </x:c>
      <x:c r="L34" s="38" t="n">
        <x:v>14000</x:v>
      </x:c>
    </x:row>
    <x:row r="35">
      <x:c r="A35" t="str">
        <x:v>O031</x:v>
      </x:c>
      <x:c r="B35" s="36" t="n">
        <x:v>46232</x:v>
      </x:c>
      <x:c r="C35" t="str">
        <x:v>East</x:v>
      </x:c>
      <x:c r="D35" t="str">
        <x:v>Accessories</x:v>
      </x:c>
      <x:c r="E35" t="str">
        <x:v>Headphones</x:v>
      </x:c>
      <x:c r="F35" s="40" t="n">
        <x:v>5</x:v>
      </x:c>
      <x:c r="G35" s="38" t="n">
        <x:v>3500</x:v>
      </x:c>
      <x:c r="H35" s="38" t="n">
        <x:v>11000</x:v>
      </x:c>
      <x:c r="I35" s="38" t="n">
        <x:v>17500</x:v>
      </x:c>
      <x:c r="J35" t="str">
        <x:v>Pending</x:v>
      </x:c>
      <x:c r="K35" t="str">
        <x:v>Rahul</x:v>
      </x:c>
      <x:c r="L35" s="38" t="n">
        <x:v>6500</x:v>
      </x:c>
    </x:row>
    <x:row r="36">
      <x:c r="A36" t="str">
        <x:v>O032</x:v>
      </x:c>
      <x:c r="B36" s="36" t="n">
        <x:v>46237</x:v>
      </x:c>
      <x:c r="C36" t="str">
        <x:v>West</x:v>
      </x:c>
      <x:c r="D36" t="str">
        <x:v>Electronics</x:v>
      </x:c>
      <x:c r="E36" t="str">
        <x:v>Printer</x:v>
      </x:c>
      <x:c r="F36" s="40" t="n">
        <x:v>6</x:v>
      </x:c>
      <x:c r="G36" s="38" t="n">
        <x:v>12000</x:v>
      </x:c>
      <x:c r="H36" s="38" t="n">
        <x:v>57000</x:v>
      </x:c>
      <x:c r="I36" s="38" t="n">
        <x:v>72000</x:v>
      </x:c>
      <x:c r="J36" t="str">
        <x:v>Cancelled</x:v>
      </x:c>
      <x:c r="K36" t="str">
        <x:v>Neha</x:v>
      </x:c>
      <x:c r="L36" s="38" t="n">
        <x:v>15000</x:v>
      </x:c>
    </x:row>
    <x:row r="37">
      <x:c r="A37" t="str">
        <x:v>O033</x:v>
      </x:c>
      <x:c r="B37" s="36" t="n">
        <x:v>46242</x:v>
      </x:c>
      <x:c r="C37" t="str">
        <x:v>North</x:v>
      </x:c>
      <x:c r="D37" t="str">
        <x:v>Electronics</x:v>
      </x:c>
      <x:c r="E37" t="str">
        <x:v>Laptop</x:v>
      </x:c>
      <x:c r="F37" s="40" t="n">
        <x:v>1</x:v>
      </x:c>
      <x:c r="G37" s="38" t="n">
        <x:v>55000</x:v>
      </x:c>
      <x:c r="H37" s="38" t="n">
        <x:v>47000</x:v>
      </x:c>
      <x:c r="I37" s="38" t="n">
        <x:v>55000</x:v>
      </x:c>
      <x:c r="J37" t="str">
        <x:v>Completed</x:v>
      </x:c>
      <x:c r="K37" t="str">
        <x:v>Aman</x:v>
      </x:c>
      <x:c r="L37" s="38" t="n">
        <x:v>8000</x:v>
      </x:c>
    </x:row>
    <x:row r="38">
      <x:c r="A38" t="str">
        <x:v>O034</x:v>
      </x:c>
      <x:c r="B38" s="36" t="n">
        <x:v>46247</x:v>
      </x:c>
      <x:c r="C38" t="str">
        <x:v>South</x:v>
      </x:c>
      <x:c r="D38" t="str">
        <x:v>Accessories</x:v>
      </x:c>
      <x:c r="E38" t="str">
        <x:v>Mouse</x:v>
      </x:c>
      <x:c r="F38" s="40" t="n">
        <x:v>2</x:v>
      </x:c>
      <x:c r="G38" s="38" t="n">
        <x:v>1200</x:v>
      </x:c>
      <x:c r="H38" s="38" t="n">
        <x:v>1400</x:v>
      </x:c>
      <x:c r="I38" s="38" t="n">
        <x:v>2400</x:v>
      </x:c>
      <x:c r="J38" t="str">
        <x:v>Pending</x:v>
      </x:c>
      <x:c r="K38" t="str">
        <x:v>Riya</x:v>
      </x:c>
      <x:c r="L38" s="38" t="n">
        <x:v>1000</x:v>
      </x:c>
    </x:row>
    <x:row r="39">
      <x:c r="A39" t="str">
        <x:v>O035</x:v>
      </x:c>
      <x:c r="B39" s="36" t="n">
        <x:v>46252</x:v>
      </x:c>
      <x:c r="C39" t="str">
        <x:v>East</x:v>
      </x:c>
      <x:c r="D39" t="str">
        <x:v>Accessories</x:v>
      </x:c>
      <x:c r="E39" t="str">
        <x:v>Keyboard</x:v>
      </x:c>
      <x:c r="F39" s="40" t="n">
        <x:v>3</x:v>
      </x:c>
      <x:c r="G39" s="38" t="n">
        <x:v>2500</x:v>
      </x:c>
      <x:c r="H39" s="38" t="n">
        <x:v>4500</x:v>
      </x:c>
      <x:c r="I39" s="38" t="n">
        <x:v>7500</x:v>
      </x:c>
      <x:c r="J39" t="str">
        <x:v>Cancelled</x:v>
      </x:c>
      <x:c r="K39" t="str">
        <x:v>Rahul</x:v>
      </x:c>
      <x:c r="L39" s="38" t="n">
        <x:v>3000</x:v>
      </x:c>
    </x:row>
    <x:row r="40">
      <x:c r="A40" t="str">
        <x:v>O036</x:v>
      </x:c>
      <x:c r="B40" s="36" t="n">
        <x:v>46257</x:v>
      </x:c>
      <x:c r="C40" t="str">
        <x:v>West</x:v>
      </x:c>
      <x:c r="D40" t="str">
        <x:v>Electronics</x:v>
      </x:c>
      <x:c r="E40" t="str">
        <x:v>Monitor</x:v>
      </x:c>
      <x:c r="F40" s="40" t="n">
        <x:v>4</x:v>
      </x:c>
      <x:c r="G40" s="38" t="n">
        <x:v>18000</x:v>
      </x:c>
      <x:c r="H40" s="38" t="n">
        <x:v>58000</x:v>
      </x:c>
      <x:c r="I40" s="38" t="n">
        <x:v>72000</x:v>
      </x:c>
      <x:c r="J40" t="str">
        <x:v>Completed</x:v>
      </x:c>
      <x:c r="K40" t="str">
        <x:v>Neha</x:v>
      </x:c>
      <x:c r="L40" s="38" t="n">
        <x:v>14000</x:v>
      </x:c>
    </x:row>
    <x:row r="41">
      <x:c r="A41" t="str">
        <x:v>O037</x:v>
      </x:c>
      <x:c r="B41" s="36" t="n">
        <x:v>46262</x:v>
      </x:c>
      <x:c r="C41" t="str">
        <x:v>North</x:v>
      </x:c>
      <x:c r="D41" t="str">
        <x:v>Accessories</x:v>
      </x:c>
      <x:c r="E41" t="str">
        <x:v>Headphones</x:v>
      </x:c>
      <x:c r="F41" s="40" t="n">
        <x:v>5</x:v>
      </x:c>
      <x:c r="G41" s="38" t="n">
        <x:v>3500</x:v>
      </x:c>
      <x:c r="H41" s="38" t="n">
        <x:v>11000</x:v>
      </x:c>
      <x:c r="I41" s="38" t="n">
        <x:v>17500</x:v>
      </x:c>
      <x:c r="J41" t="str">
        <x:v>Pending</x:v>
      </x:c>
      <x:c r="K41" t="str">
        <x:v>Aman</x:v>
      </x:c>
      <x:c r="L41" s="38" t="n">
        <x:v>6500</x:v>
      </x:c>
    </x:row>
    <x:row r="42">
      <x:c r="A42" t="str">
        <x:v>O038</x:v>
      </x:c>
      <x:c r="B42" s="36" t="n">
        <x:v>46267</x:v>
      </x:c>
      <x:c r="C42" t="str">
        <x:v>South</x:v>
      </x:c>
      <x:c r="D42" t="str">
        <x:v>Electronics</x:v>
      </x:c>
      <x:c r="E42" t="str">
        <x:v>Printer</x:v>
      </x:c>
      <x:c r="F42" s="40" t="n">
        <x:v>6</x:v>
      </x:c>
      <x:c r="G42" s="38" t="n">
        <x:v>12000</x:v>
      </x:c>
      <x:c r="H42" s="38" t="n">
        <x:v>57000</x:v>
      </x:c>
      <x:c r="I42" s="38" t="n">
        <x:v>72000</x:v>
      </x:c>
      <x:c r="J42" t="str">
        <x:v>Cancelled</x:v>
      </x:c>
      <x:c r="K42" t="str">
        <x:v>Riya</x:v>
      </x:c>
      <x:c r="L42" s="38" t="n">
        <x:v>15000</x:v>
      </x:c>
    </x:row>
    <x:row r="43">
      <x:c r="A43" t="str">
        <x:v>O039</x:v>
      </x:c>
      <x:c r="B43" s="36" t="n">
        <x:v>46272</x:v>
      </x:c>
      <x:c r="C43" t="str">
        <x:v>East</x:v>
      </x:c>
      <x:c r="D43" t="str">
        <x:v>Electronics</x:v>
      </x:c>
      <x:c r="E43" t="str">
        <x:v>Laptop</x:v>
      </x:c>
      <x:c r="F43" s="40" t="n">
        <x:v>1</x:v>
      </x:c>
      <x:c r="G43" s="38" t="n">
        <x:v>55000</x:v>
      </x:c>
      <x:c r="H43" s="38" t="n">
        <x:v>47000</x:v>
      </x:c>
      <x:c r="I43" s="38" t="n">
        <x:v>55000</x:v>
      </x:c>
      <x:c r="J43" t="str">
        <x:v>Completed</x:v>
      </x:c>
      <x:c r="K43" t="str">
        <x:v>Rahul</x:v>
      </x:c>
      <x:c r="L43" s="38" t="n">
        <x:v>8000</x:v>
      </x:c>
    </x:row>
    <x:row r="44">
      <x:c r="A44" t="str">
        <x:v>O040</x:v>
      </x:c>
      <x:c r="B44" s="36" t="n">
        <x:v>46277</x:v>
      </x:c>
      <x:c r="C44" t="str">
        <x:v>West</x:v>
      </x:c>
      <x:c r="D44" t="str">
        <x:v>Accessories</x:v>
      </x:c>
      <x:c r="E44" t="str">
        <x:v>Mouse</x:v>
      </x:c>
      <x:c r="F44" s="40" t="n">
        <x:v>2</x:v>
      </x:c>
      <x:c r="G44" s="38" t="n">
        <x:v>1200</x:v>
      </x:c>
      <x:c r="H44" s="38" t="n">
        <x:v>1400</x:v>
      </x:c>
      <x:c r="I44" s="38" t="n">
        <x:v>2400</x:v>
      </x:c>
      <x:c r="J44" t="str">
        <x:v>Pending</x:v>
      </x:c>
      <x:c r="K44" t="str">
        <x:v>Neha</x:v>
      </x:c>
      <x:c r="L44" s="38" t="n">
        <x:v>1000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73dfcd625c0e465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12" hidden="0" customWidth="1"/>
    <x:col min="4" max="4" width="15" hidden="0" customWidth="1"/>
    <x:col min="5" max="5" width="15" hidden="0" customWidth="1"/>
    <x:col min="6" max="6" width="10" hidden="0" customWidth="1"/>
    <x:col min="7" max="7" width="14" hidden="0" customWidth="1"/>
    <x:col min="8" max="8" width="14" hidden="0" customWidth="1"/>
    <x:col min="9" max="9" width="14" hidden="0" customWidth="1"/>
    <x:col min="10" max="10" width="12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</x:cols>
  <x:sheetData>
    <x:row r="1" ht="28" customHeight="1">
      <x:c r="A1" s="5" t="str">
        <x:v>Day 4 Logic &amp; Alerts</x:v>
      </x:c>
    </x:row>
    <x:row r="2" ht="24" customHeight="1">
      <x:c r="A2" s="18" t="str">
        <x:v>Use business rules to turn numbers into categories and exceptions.</x:v>
      </x:c>
    </x:row>
    <x:row r="4">
      <x:c r="A4" s="24" t="str">
        <x:v>Order ID</x:v>
      </x:c>
      <x:c r="B4" s="24" t="str">
        <x:v>Date</x:v>
      </x:c>
      <x:c r="C4" s="24" t="str">
        <x:v>Region</x:v>
      </x:c>
      <x:c r="D4" s="24" t="str">
        <x:v>Category</x:v>
      </x:c>
      <x:c r="E4" s="24" t="str">
        <x:v>Product</x:v>
      </x:c>
      <x:c r="F4" s="24" t="str">
        <x:v>Quantity</x:v>
      </x:c>
      <x:c r="G4" s="24" t="str">
        <x:v>Unit Price</x:v>
      </x:c>
      <x:c r="H4" s="24" t="str">
        <x:v>Cost</x:v>
      </x:c>
      <x:c r="I4" s="24" t="str">
        <x:v>Revenue</x:v>
      </x:c>
      <x:c r="J4" s="24" t="str">
        <x:v>Status</x:v>
      </x:c>
      <x:c r="K4" s="24" t="str">
        <x:v>Salesperson</x:v>
      </x:c>
      <x:c r="L4" s="24" t="str">
        <x:v>Profit</x:v>
      </x:c>
      <x:c r="M4" s="24" t="str">
        <x:v>Value Band</x:v>
      </x:c>
      <x:c r="N4" s="24" t="str">
        <x:v>Priority Flag</x:v>
      </x:c>
      <x:c r="O4" s="24" t="str">
        <x:v>Data Quality</x:v>
      </x:c>
    </x:row>
    <x:row r="5">
      <x:c r="A5" t="str">
        <x:v>O101</x:v>
      </x:c>
      <x:c r="B5" s="36" t="n">
        <x:v>46023</x:v>
      </x:c>
      <x:c r="C5" t="str">
        <x:v>North</x:v>
      </x:c>
      <x:c r="D5" t="str">
        <x:v>Electronics</x:v>
      </x:c>
      <x:c r="E5" t="str">
        <x:v>Laptop</x:v>
      </x:c>
      <x:c r="F5" t="n">
        <x:v>2</x:v>
      </x:c>
      <x:c r="G5" s="38" t="n">
        <x:v>55000</x:v>
      </x:c>
      <x:c r="H5" s="38" t="n">
        <x:v>94000</x:v>
      </x:c>
      <x:c r="I5" s="38" t="n">
        <x:v>110000</x:v>
      </x:c>
      <x:c r="J5" t="str">
        <x:v>Completed</x:v>
      </x:c>
      <x:c r="K5" t="str">
        <x:v>Aman</x:v>
      </x:c>
      <x:c r="L5" s="38" t="n">
        <x:v>16000</x:v>
      </x:c>
      <x:c r="M5" t="str">
        <x:f>IFS(I5&gt;=100000,"High",I5&gt;=50000,"Medium",TRUE,"Low")</x:f>
        <x:v>High</x:v>
      </x:c>
      <x:c r="N5" t="str">
        <x:f>IF(AND(J5="Completed",I5&gt;=50000),"Priority","Normal")</x:f>
        <x:v>Priority</x:v>
      </x:c>
      <x:c r="O5" t="str">
        <x:f>IF(OR(A5="",C5="",E5=""),"Check","OK")</x:f>
        <x:v>OK</x:v>
      </x:c>
    </x:row>
    <x:row r="6">
      <x:c r="A6" t="str">
        <x:v>O102</x:v>
      </x:c>
      <x:c r="B6" s="36" t="n">
        <x:v>46025</x:v>
      </x:c>
      <x:c r="C6" t="str">
        <x:v>South</x:v>
      </x:c>
      <x:c r="D6" t="str">
        <x:v>Accessories</x:v>
      </x:c>
      <x:c r="E6" t="str">
        <x:v>Mouse</x:v>
      </x:c>
      <x:c r="F6" t="n">
        <x:v>5</x:v>
      </x:c>
      <x:c r="G6" s="38" t="n">
        <x:v>1200</x:v>
      </x:c>
      <x:c r="H6" s="38" t="n">
        <x:v>3500</x:v>
      </x:c>
      <x:c r="I6" s="38" t="n">
        <x:v>6000</x:v>
      </x:c>
      <x:c r="J6" t="str">
        <x:v>Completed</x:v>
      </x:c>
      <x:c r="K6" t="str">
        <x:v>Riya</x:v>
      </x:c>
      <x:c r="L6" s="38" t="n">
        <x:v>2500</x:v>
      </x:c>
      <x:c r="M6" t="str">
        <x:f>IFS(I6&gt;=100000,"High",I6&gt;=50000,"Medium",TRUE,"Low")</x:f>
        <x:v>Low</x:v>
      </x:c>
      <x:c r="N6" t="str">
        <x:f>IF(AND(J6="Completed",I6&gt;=50000),"Priority","Normal")</x:f>
        <x:v>Normal</x:v>
      </x:c>
      <x:c r="O6" t="str">
        <x:f>IF(OR(A6="",C6="",E6=""),"Check","OK")</x:f>
        <x:v>OK</x:v>
      </x:c>
    </x:row>
    <x:row r="7">
      <x:c r="A7" t="str">
        <x:v>O103</x:v>
      </x:c>
      <x:c r="B7" s="36" t="n">
        <x:v>46027</x:v>
      </x:c>
      <x:c r="C7" t="str">
        <x:v>North</x:v>
      </x:c>
      <x:c r="D7" t="str">
        <x:v>Accessories</x:v>
      </x:c>
      <x:c r="E7" t="str">
        <x:v>Keyboard</x:v>
      </x:c>
      <x:c r="F7" t="n">
        <x:v>3</x:v>
      </x:c>
      <x:c r="G7" s="38" t="n">
        <x:v>2500</x:v>
      </x:c>
      <x:c r="H7" s="38" t="n">
        <x:v>4500</x:v>
      </x:c>
      <x:c r="I7" s="38" t="n">
        <x:v>7500</x:v>
      </x:c>
      <x:c r="J7" t="str">
        <x:v>Pending</x:v>
      </x:c>
      <x:c r="K7" t="str">
        <x:v>Rahul</x:v>
      </x:c>
      <x:c r="L7" s="38" t="n">
        <x:v>3000</x:v>
      </x:c>
      <x:c r="M7" t="str">
        <x:f>IFS(I7&gt;=100000,"High",I7&gt;=50000,"Medium",TRUE,"Low")</x:f>
        <x:v>Low</x:v>
      </x:c>
      <x:c r="N7" t="str">
        <x:f>IF(AND(J7="Completed",I7&gt;=50000),"Priority","Normal")</x:f>
        <x:v>Normal</x:v>
      </x:c>
      <x:c r="O7" t="str">
        <x:f>IF(OR(A7="",C7="",E7=""),"Check","OK")</x:f>
        <x:v>OK</x:v>
      </x:c>
    </x:row>
    <x:row r="8">
      <x:c r="A8" t="str">
        <x:v>O104</x:v>
      </x:c>
      <x:c r="B8" s="36" t="n">
        <x:v>46061</x:v>
      </x:c>
      <x:c r="C8" t="str">
        <x:v>West</x:v>
      </x:c>
      <x:c r="D8" t="str">
        <x:v>Electronics</x:v>
      </x:c>
      <x:c r="E8" t="str">
        <x:v>Laptop</x:v>
      </x:c>
      <x:c r="F8" t="n">
        <x:v>1</x:v>
      </x:c>
      <x:c r="G8" s="38" t="n">
        <x:v>55000</x:v>
      </x:c>
      <x:c r="H8" s="38" t="n">
        <x:v>47000</x:v>
      </x:c>
      <x:c r="I8" s="38" t="n">
        <x:v>55000</x:v>
      </x:c>
      <x:c r="J8" t="str">
        <x:v>Completed</x:v>
      </x:c>
      <x:c r="K8" t="str">
        <x:v>Neha</x:v>
      </x:c>
      <x:c r="L8" s="38" t="n">
        <x:v>8000</x:v>
      </x:c>
      <x:c r="M8" t="str">
        <x:f>IFS(I8&gt;=100000,"High",I8&gt;=50000,"Medium",TRUE,"Low")</x:f>
        <x:v>Medium</x:v>
      </x:c>
      <x:c r="N8" t="str">
        <x:f>IF(AND(J8="Completed",I8&gt;=50000),"Priority","Normal")</x:f>
        <x:v>Priority</x:v>
      </x:c>
      <x:c r="O8" t="str">
        <x:f>IF(OR(A8="",C8="",E8=""),"Check","OK")</x:f>
        <x:v>OK</x:v>
      </x:c>
    </x:row>
    <x:row r="9">
      <x:c r="A9" t="str">
        <x:v>O105</x:v>
      </x:c>
      <x:c r="B9" s="36" t="n">
        <x:v>46065</x:v>
      </x:c>
      <x:c r="C9" t="str">
        <x:v>South</x:v>
      </x:c>
      <x:c r="D9" t="str">
        <x:v>Electronics</x:v>
      </x:c>
      <x:c r="E9" t="str">
        <x:v>Monitor</x:v>
      </x:c>
      <x:c r="F9" t="n">
        <x:v>2</x:v>
      </x:c>
      <x:c r="G9" s="38" t="n">
        <x:v>18000</x:v>
      </x:c>
      <x:c r="H9" s="38" t="n">
        <x:v>29000</x:v>
      </x:c>
      <x:c r="I9" s="38" t="n">
        <x:v>36000</x:v>
      </x:c>
      <x:c r="J9" t="str">
        <x:v>Completed</x:v>
      </x:c>
      <x:c r="K9" t="str">
        <x:v>Aman</x:v>
      </x:c>
      <x:c r="L9" s="38" t="n">
        <x:v>7000</x:v>
      </x:c>
      <x:c r="M9" t="str">
        <x:f>IFS(I9&gt;=100000,"High",I9&gt;=50000,"Medium",TRUE,"Low")</x:f>
        <x:v>Low</x:v>
      </x:c>
      <x:c r="N9" t="str">
        <x:f>IF(AND(J9="Completed",I9&gt;=50000),"Priority","Normal")</x:f>
        <x:v>Normal</x:v>
      </x:c>
      <x:c r="O9" t="str">
        <x:f>IF(OR(A9="",C9="",E9=""),"Check","OK")</x:f>
        <x:v>OK</x:v>
      </x:c>
    </x:row>
    <x:row r="10">
      <x:c r="A10" t="str">
        <x:v>O106</x:v>
      </x:c>
      <x:c r="B10" s="36" t="n">
        <x:v>46098</x:v>
      </x:c>
      <x:c r="C10" t="str">
        <x:v>North</x:v>
      </x:c>
      <x:c r="D10" t="str">
        <x:v>Accessories</x:v>
      </x:c>
      <x:c r="E10" t="str">
        <x:v>Mouse</x:v>
      </x:c>
      <x:c r="F10" t="n">
        <x:v>10</x:v>
      </x:c>
      <x:c r="G10" s="38" t="n">
        <x:v>1200</x:v>
      </x:c>
      <x:c r="H10" s="38" t="n">
        <x:v>7000</x:v>
      </x:c>
      <x:c r="I10" s="38" t="n">
        <x:v>12000</x:v>
      </x:c>
      <x:c r="J10" t="str">
        <x:v>Completed</x:v>
      </x:c>
      <x:c r="K10" t="str">
        <x:v>Riya</x:v>
      </x:c>
      <x:c r="L10" s="38" t="n">
        <x:v>5000</x:v>
      </x:c>
      <x:c r="M10" t="str">
        <x:f>IFS(I10&gt;=100000,"High",I10&gt;=50000,"Medium",TRUE,"Low")</x:f>
        <x:v>Low</x:v>
      </x:c>
      <x:c r="N10" t="str">
        <x:f>IF(AND(J10="Completed",I10&gt;=50000),"Priority","Normal")</x:f>
        <x:v>Normal</x:v>
      </x:c>
      <x:c r="O10" t="str">
        <x:f>IF(OR(A10="",C10="",E10=""),"Check","OK")</x:f>
        <x:v>OK</x:v>
      </x:c>
    </x:row>
    <x:row r="11">
      <x:c r="A11" t="str">
        <x:v>O107</x:v>
      </x:c>
      <x:c r="B11" s="36" t="n">
        <x:v>46102</x:v>
      </x:c>
      <x:c r="C11" t="str">
        <x:v>West</x:v>
      </x:c>
      <x:c r="D11" t="str">
        <x:v>Accessories</x:v>
      </x:c>
      <x:c r="E11" t="str">
        <x:v>Keyboard</x:v>
      </x:c>
      <x:c r="F11" t="n">
        <x:v>4</x:v>
      </x:c>
      <x:c r="G11" s="38" t="n">
        <x:v>2500</x:v>
      </x:c>
      <x:c r="H11" s="38" t="n">
        <x:v>6000</x:v>
      </x:c>
      <x:c r="I11" s="38" t="n">
        <x:v>10000</x:v>
      </x:c>
      <x:c r="J11" t="str">
        <x:v>Pending</x:v>
      </x:c>
      <x:c r="K11" t="str">
        <x:v>Rahul</x:v>
      </x:c>
      <x:c r="L11" s="38" t="n">
        <x:v>4000</x:v>
      </x:c>
      <x:c r="M11" t="str">
        <x:f>IFS(I11&gt;=100000,"High",I11&gt;=50000,"Medium",TRUE,"Low")</x:f>
        <x:v>Low</x:v>
      </x:c>
      <x:c r="N11" t="str">
        <x:f>IF(AND(J11="Completed",I11&gt;=50000),"Priority","Normal")</x:f>
        <x:v>Normal</x:v>
      </x:c>
      <x:c r="O11" t="str">
        <x:f>IF(OR(A11="",C11="",E11=""),"Check","OK")</x:f>
        <x:v>OK</x:v>
      </x:c>
    </x:row>
    <x:row r="12">
      <x:c r="A12" t="str">
        <x:v>O108</x:v>
      </x:c>
      <x:c r="B12" s="36" t="n">
        <x:v>46114</x:v>
      </x:c>
      <x:c r="C12" t="str">
        <x:v>East</x:v>
      </x:c>
      <x:c r="D12" t="str">
        <x:v>Electronics</x:v>
      </x:c>
      <x:c r="E12" t="str">
        <x:v>Laptop</x:v>
      </x:c>
      <x:c r="F12" t="n">
        <x:v>2</x:v>
      </x:c>
      <x:c r="G12" s="38" t="n">
        <x:v>55000</x:v>
      </x:c>
      <x:c r="H12" s="38" t="n">
        <x:v>94000</x:v>
      </x:c>
      <x:c r="I12" s="38" t="n">
        <x:v>110000</x:v>
      </x:c>
      <x:c r="J12" t="str">
        <x:v>Completed</x:v>
      </x:c>
      <x:c r="K12" t="str">
        <x:v>Neha</x:v>
      </x:c>
      <x:c r="L12" s="38" t="n">
        <x:v>16000</x:v>
      </x:c>
      <x:c r="M12" t="str">
        <x:f>IFS(I12&gt;=100000,"High",I12&gt;=50000,"Medium",TRUE,"Low")</x:f>
        <x:v>High</x:v>
      </x:c>
      <x:c r="N12" t="str">
        <x:f>IF(AND(J12="Completed",I12&gt;=50000),"Priority","Normal")</x:f>
        <x:v>Priority</x:v>
      </x:c>
      <x:c r="O12" t="str">
        <x:f>IF(OR(A12="",C12="",E12=""),"Check","OK")</x:f>
        <x:v>OK</x:v>
      </x:c>
    </x:row>
    <x:row r="13">
      <x:c r="A13" t="str">
        <x:v>O009</x:v>
      </x:c>
      <x:c r="B13" s="36" t="n">
        <x:v>46122</x:v>
      </x:c>
      <x:c r="C13" t="str">
        <x:v>North</x:v>
      </x:c>
      <x:c r="D13" t="str">
        <x:v>Electronics</x:v>
      </x:c>
      <x:c r="E13" t="str">
        <x:v>Laptop</x:v>
      </x:c>
      <x:c r="F13" t="n">
        <x:v>1</x:v>
      </x:c>
      <x:c r="G13" s="38" t="n">
        <x:v>55000</x:v>
      </x:c>
      <x:c r="H13" s="38" t="n">
        <x:v>47000</x:v>
      </x:c>
      <x:c r="I13" s="38" t="n">
        <x:v>55000</x:v>
      </x:c>
      <x:c r="J13" t="str">
        <x:v>Completed</x:v>
      </x:c>
      <x:c r="K13" t="str">
        <x:v>Aman</x:v>
      </x:c>
      <x:c r="L13" s="38" t="n">
        <x:v>8000</x:v>
      </x:c>
      <x:c r="M13" t="str">
        <x:f>IFS(I13&gt;=100000,"High",I13&gt;=50000,"Medium",TRUE,"Low")</x:f>
        <x:v>Medium</x:v>
      </x:c>
      <x:c r="N13" t="str">
        <x:f>IF(AND(J13="Completed",I13&gt;=50000),"Priority","Normal")</x:f>
        <x:v>Priority</x:v>
      </x:c>
      <x:c r="O13" t="str">
        <x:f>IF(OR(A13="",C13="",E13=""),"Check","OK")</x:f>
        <x:v>OK</x:v>
      </x:c>
    </x:row>
    <x:row r="14">
      <x:c r="A14" t="str">
        <x:v>O010</x:v>
      </x:c>
      <x:c r="B14" s="36" t="n">
        <x:v>46127</x:v>
      </x:c>
      <x:c r="C14" t="str">
        <x:v>South</x:v>
      </x:c>
      <x:c r="D14" t="str">
        <x:v>Accessories</x:v>
      </x:c>
      <x:c r="E14" t="str">
        <x:v>Mouse</x:v>
      </x:c>
      <x:c r="F14" t="n">
        <x:v>2</x:v>
      </x:c>
      <x:c r="G14" s="38" t="n">
        <x:v>1200</x:v>
      </x:c>
      <x:c r="H14" s="38" t="n">
        <x:v>1400</x:v>
      </x:c>
      <x:c r="I14" s="38" t="n">
        <x:v>2400</x:v>
      </x:c>
      <x:c r="J14" t="str">
        <x:v>Pending</x:v>
      </x:c>
      <x:c r="K14" t="str">
        <x:v>Riya</x:v>
      </x:c>
      <x:c r="L14" s="38" t="n">
        <x:v>1000</x:v>
      </x:c>
      <x:c r="M14" t="str">
        <x:f>IFS(I14&gt;=100000,"High",I14&gt;=50000,"Medium",TRUE,"Low")</x:f>
        <x:v>Low</x:v>
      </x:c>
      <x:c r="N14" t="str">
        <x:f>IF(AND(J14="Completed",I14&gt;=50000),"Priority","Normal")</x:f>
        <x:v>Normal</x:v>
      </x:c>
      <x:c r="O14" t="str">
        <x:f>IF(OR(A14="",C14="",E14=""),"Check","OK")</x:f>
        <x:v>OK</x:v>
      </x:c>
    </x:row>
    <x:row r="15">
      <x:c r="A15" t="str">
        <x:v>O011</x:v>
      </x:c>
      <x:c r="B15" s="36" t="n">
        <x:v>46132</x:v>
      </x:c>
      <x:c r="C15" t="str">
        <x:v>East</x:v>
      </x:c>
      <x:c r="D15" t="str">
        <x:v>Accessories</x:v>
      </x:c>
      <x:c r="E15" t="str">
        <x:v>Keyboard</x:v>
      </x:c>
      <x:c r="F15" t="n">
        <x:v>3</x:v>
      </x:c>
      <x:c r="G15" s="38" t="n">
        <x:v>2500</x:v>
      </x:c>
      <x:c r="H15" s="38" t="n">
        <x:v>4500</x:v>
      </x:c>
      <x:c r="I15" s="38" t="n">
        <x:v>7500</x:v>
      </x:c>
      <x:c r="J15" t="str">
        <x:v>Cancelled</x:v>
      </x:c>
      <x:c r="K15" t="str">
        <x:v>Rahul</x:v>
      </x:c>
      <x:c r="L15" s="38" t="n">
        <x:v>3000</x:v>
      </x:c>
      <x:c r="M15" t="str">
        <x:f>IFS(I15&gt;=100000,"High",I15&gt;=50000,"Medium",TRUE,"Low")</x:f>
        <x:v>Low</x:v>
      </x:c>
      <x:c r="N15" t="str">
        <x:f>IF(AND(J15="Completed",I15&gt;=50000),"Priority","Normal")</x:f>
        <x:v>Normal</x:v>
      </x:c>
      <x:c r="O15" t="str">
        <x:f>IF(OR(A15="",C15="",E15=""),"Check","OK")</x:f>
        <x:v>OK</x:v>
      </x:c>
    </x:row>
    <x:row r="16">
      <x:c r="A16" t="str">
        <x:v>O012</x:v>
      </x:c>
      <x:c r="B16" s="36" t="n">
        <x:v>46137</x:v>
      </x:c>
      <x:c r="C16" t="str">
        <x:v>West</x:v>
      </x:c>
      <x:c r="D16" t="str">
        <x:v>Electronics</x:v>
      </x:c>
      <x:c r="E16" t="str">
        <x:v>Monitor</x:v>
      </x:c>
      <x:c r="F16" t="n">
        <x:v>4</x:v>
      </x:c>
      <x:c r="G16" s="38" t="n">
        <x:v>18000</x:v>
      </x:c>
      <x:c r="H16" s="38" t="n">
        <x:v>58000</x:v>
      </x:c>
      <x:c r="I16" s="38" t="n">
        <x:v>72000</x:v>
      </x:c>
      <x:c r="J16" t="str">
        <x:v>Completed</x:v>
      </x:c>
      <x:c r="K16" t="str">
        <x:v>Neha</x:v>
      </x:c>
      <x:c r="L16" s="38" t="n">
        <x:v>14000</x:v>
      </x:c>
      <x:c r="M16" t="str">
        <x:f>IFS(I16&gt;=100000,"High",I16&gt;=50000,"Medium",TRUE,"Low")</x:f>
        <x:v>Medium</x:v>
      </x:c>
      <x:c r="N16" t="str">
        <x:f>IF(AND(J16="Completed",I16&gt;=50000),"Priority","Normal")</x:f>
        <x:v>Priority</x:v>
      </x:c>
      <x:c r="O16" t="str">
        <x:f>IF(OR(A16="",C16="",E16=""),"Check","OK")</x:f>
        <x:v>OK</x:v>
      </x:c>
    </x:row>
    <x:row r="17">
      <x:c r="A17" t="str">
        <x:v>O013</x:v>
      </x:c>
      <x:c r="B17" s="36" t="n">
        <x:v>46142</x:v>
      </x:c>
      <x:c r="C17" t="str">
        <x:v>North</x:v>
      </x:c>
      <x:c r="D17" t="str">
        <x:v>Accessories</x:v>
      </x:c>
      <x:c r="E17" t="str">
        <x:v>Headphones</x:v>
      </x:c>
      <x:c r="F17" t="n">
        <x:v>5</x:v>
      </x:c>
      <x:c r="G17" s="38" t="n">
        <x:v>3500</x:v>
      </x:c>
      <x:c r="H17" s="38" t="n">
        <x:v>11000</x:v>
      </x:c>
      <x:c r="I17" s="38" t="n">
        <x:v>17500</x:v>
      </x:c>
      <x:c r="J17" t="str">
        <x:v>Pending</x:v>
      </x:c>
      <x:c r="K17" t="str">
        <x:v>Aman</x:v>
      </x:c>
      <x:c r="L17" s="38" t="n">
        <x:v>6500</x:v>
      </x:c>
      <x:c r="M17" t="str">
        <x:f>IFS(I17&gt;=100000,"High",I17&gt;=50000,"Medium",TRUE,"Low")</x:f>
        <x:v>Low</x:v>
      </x:c>
      <x:c r="N17" t="str">
        <x:f>IF(AND(J17="Completed",I17&gt;=50000),"Priority","Normal")</x:f>
        <x:v>Normal</x:v>
      </x:c>
      <x:c r="O17" t="str">
        <x:f>IF(OR(A17="",C17="",E17=""),"Check","OK")</x:f>
        <x:v>OK</x:v>
      </x:c>
    </x:row>
    <x:row r="18">
      <x:c r="A18" t="str">
        <x:v>O014</x:v>
      </x:c>
      <x:c r="B18" s="36" t="n">
        <x:v>46147</x:v>
      </x:c>
      <x:c r="C18" t="str">
        <x:v>South</x:v>
      </x:c>
      <x:c r="D18" t="str">
        <x:v>Electronics</x:v>
      </x:c>
      <x:c r="E18" t="str">
        <x:v>Printer</x:v>
      </x:c>
      <x:c r="F18" t="n">
        <x:v>6</x:v>
      </x:c>
      <x:c r="G18" s="38" t="n">
        <x:v>12000</x:v>
      </x:c>
      <x:c r="H18" s="38" t="n">
        <x:v>57000</x:v>
      </x:c>
      <x:c r="I18" s="38" t="n">
        <x:v>72000</x:v>
      </x:c>
      <x:c r="J18" t="str">
        <x:v>Cancelled</x:v>
      </x:c>
      <x:c r="K18" t="str">
        <x:v>Riya</x:v>
      </x:c>
      <x:c r="L18" s="38" t="n">
        <x:v>15000</x:v>
      </x:c>
      <x:c r="M18" t="str">
        <x:f>IFS(I18&gt;=100000,"High",I18&gt;=50000,"Medium",TRUE,"Low")</x:f>
        <x:v>Medium</x:v>
      </x:c>
      <x:c r="N18" t="str">
        <x:f>IF(AND(J18="Completed",I18&gt;=50000),"Priority","Normal")</x:f>
        <x:v>Normal</x:v>
      </x:c>
      <x:c r="O18" t="str">
        <x:f>IF(OR(A18="",C18="",E18=""),"Check","OK")</x:f>
        <x:v>OK</x:v>
      </x:c>
    </x:row>
    <x:row r="19">
      <x:c r="A19" t="str">
        <x:v>O015</x:v>
      </x:c>
      <x:c r="B19" s="36" t="n">
        <x:v>46152</x:v>
      </x:c>
      <x:c r="C19" t="str">
        <x:v>East</x:v>
      </x:c>
      <x:c r="D19" t="str">
        <x:v>Electronics</x:v>
      </x:c>
      <x:c r="E19" t="str">
        <x:v>Laptop</x:v>
      </x:c>
      <x:c r="F19" t="n">
        <x:v>1</x:v>
      </x:c>
      <x:c r="G19" s="38" t="n">
        <x:v>55000</x:v>
      </x:c>
      <x:c r="H19" s="38" t="n">
        <x:v>47000</x:v>
      </x:c>
      <x:c r="I19" s="38" t="n">
        <x:v>55000</x:v>
      </x:c>
      <x:c r="J19" t="str">
        <x:v>Completed</x:v>
      </x:c>
      <x:c r="K19" t="str">
        <x:v>Rahul</x:v>
      </x:c>
      <x:c r="L19" s="38" t="n">
        <x:v>8000</x:v>
      </x:c>
      <x:c r="M19" t="str">
        <x:f>IFS(I19&gt;=100000,"High",I19&gt;=50000,"Medium",TRUE,"Low")</x:f>
        <x:v>Medium</x:v>
      </x:c>
      <x:c r="N19" t="str">
        <x:f>IF(AND(J19="Completed",I19&gt;=50000),"Priority","Normal")</x:f>
        <x:v>Priority</x:v>
      </x:c>
      <x:c r="O19" t="str">
        <x:f>IF(OR(A19="",C19="",E19=""),"Check","OK")</x:f>
        <x:v>OK</x:v>
      </x:c>
    </x:row>
    <x:row r="20">
      <x:c r="A20" t="str">
        <x:v>O016</x:v>
      </x:c>
      <x:c r="B20" s="36" t="n">
        <x:v>46157</x:v>
      </x:c>
      <x:c r="C20" t="str">
        <x:v>West</x:v>
      </x:c>
      <x:c r="D20" t="str">
        <x:v>Accessories</x:v>
      </x:c>
      <x:c r="E20" t="str">
        <x:v>Mouse</x:v>
      </x:c>
      <x:c r="F20" t="n">
        <x:v>2</x:v>
      </x:c>
      <x:c r="G20" s="38" t="n">
        <x:v>1200</x:v>
      </x:c>
      <x:c r="H20" s="38" t="n">
        <x:v>1400</x:v>
      </x:c>
      <x:c r="I20" s="38" t="n">
        <x:v>2400</x:v>
      </x:c>
      <x:c r="J20" t="str">
        <x:v>Pending</x:v>
      </x:c>
      <x:c r="K20" t="str">
        <x:v>Neha</x:v>
      </x:c>
      <x:c r="L20" s="38" t="n">
        <x:v>1000</x:v>
      </x:c>
      <x:c r="M20" t="str">
        <x:f>IFS(I20&gt;=100000,"High",I20&gt;=50000,"Medium",TRUE,"Low")</x:f>
        <x:v>Low</x:v>
      </x:c>
      <x:c r="N20" t="str">
        <x:f>IF(AND(J20="Completed",I20&gt;=50000),"Priority","Normal")</x:f>
        <x:v>Normal</x:v>
      </x:c>
      <x:c r="O20" t="str">
        <x:f>IF(OR(A20="",C20="",E20=""),"Check","OK")</x:f>
        <x:v>OK</x:v>
      </x:c>
    </x:row>
    <x:row r="21">
      <x:c r="A21" t="str">
        <x:v>O017</x:v>
      </x:c>
      <x:c r="B21" s="36" t="n">
        <x:v>46162</x:v>
      </x:c>
      <x:c r="C21" t="str">
        <x:v>North</x:v>
      </x:c>
      <x:c r="D21" t="str">
        <x:v>Accessories</x:v>
      </x:c>
      <x:c r="E21" t="str">
        <x:v>Keyboard</x:v>
      </x:c>
      <x:c r="F21" t="n">
        <x:v>3</x:v>
      </x:c>
      <x:c r="G21" s="38" t="n">
        <x:v>2500</x:v>
      </x:c>
      <x:c r="H21" s="38" t="n">
        <x:v>4500</x:v>
      </x:c>
      <x:c r="I21" s="38" t="n">
        <x:v>7500</x:v>
      </x:c>
      <x:c r="J21" t="str">
        <x:v>Cancelled</x:v>
      </x:c>
      <x:c r="K21" t="str">
        <x:v>Aman</x:v>
      </x:c>
      <x:c r="L21" s="38" t="n">
        <x:v>3000</x:v>
      </x:c>
      <x:c r="M21" t="str">
        <x:f>IFS(I21&gt;=100000,"High",I21&gt;=50000,"Medium",TRUE,"Low")</x:f>
        <x:v>Low</x:v>
      </x:c>
      <x:c r="N21" t="str">
        <x:f>IF(AND(J21="Completed",I21&gt;=50000),"Priority","Normal")</x:f>
        <x:v>Normal</x:v>
      </x:c>
      <x:c r="O21" t="str">
        <x:f>IF(OR(A21="",C21="",E21=""),"Check","OK")</x:f>
        <x:v>OK</x:v>
      </x:c>
    </x:row>
    <x:row r="22">
      <x:c r="A22" t="str">
        <x:v>O018</x:v>
      </x:c>
      <x:c r="B22" s="36" t="n">
        <x:v>46167</x:v>
      </x:c>
      <x:c r="C22" t="str">
        <x:v>South</x:v>
      </x:c>
      <x:c r="D22" t="str">
        <x:v>Electronics</x:v>
      </x:c>
      <x:c r="E22" t="str">
        <x:v>Monitor</x:v>
      </x:c>
      <x:c r="F22" t="n">
        <x:v>4</x:v>
      </x:c>
      <x:c r="G22" s="38" t="n">
        <x:v>18000</x:v>
      </x:c>
      <x:c r="H22" s="38" t="n">
        <x:v>58000</x:v>
      </x:c>
      <x:c r="I22" s="38" t="n">
        <x:v>72000</x:v>
      </x:c>
      <x:c r="J22" t="str">
        <x:v>Completed</x:v>
      </x:c>
      <x:c r="K22" t="str">
        <x:v>Riya</x:v>
      </x:c>
      <x:c r="L22" s="38" t="n">
        <x:v>14000</x:v>
      </x:c>
      <x:c r="M22" t="str">
        <x:f>IFS(I22&gt;=100000,"High",I22&gt;=50000,"Medium",TRUE,"Low")</x:f>
        <x:v>Medium</x:v>
      </x:c>
      <x:c r="N22" t="str">
        <x:f>IF(AND(J22="Completed",I22&gt;=50000),"Priority","Normal")</x:f>
        <x:v>Priority</x:v>
      </x:c>
      <x:c r="O22" t="str">
        <x:f>IF(OR(A22="",C22="",E22=""),"Check","OK")</x:f>
        <x:v>OK</x:v>
      </x:c>
    </x:row>
    <x:row r="23">
      <x:c r="A23" t="str">
        <x:v>O019</x:v>
      </x:c>
      <x:c r="B23" s="36" t="n">
        <x:v>46172</x:v>
      </x:c>
      <x:c r="C23" t="str">
        <x:v>East</x:v>
      </x:c>
      <x:c r="D23" t="str">
        <x:v>Accessories</x:v>
      </x:c>
      <x:c r="E23" t="str">
        <x:v>Headphones</x:v>
      </x:c>
      <x:c r="F23" t="n">
        <x:v>5</x:v>
      </x:c>
      <x:c r="G23" s="38" t="n">
        <x:v>3500</x:v>
      </x:c>
      <x:c r="H23" s="38" t="n">
        <x:v>11000</x:v>
      </x:c>
      <x:c r="I23" s="38" t="n">
        <x:v>17500</x:v>
      </x:c>
      <x:c r="J23" t="str">
        <x:v>Pending</x:v>
      </x:c>
      <x:c r="K23" t="str">
        <x:v>Rahul</x:v>
      </x:c>
      <x:c r="L23" s="38" t="n">
        <x:v>6500</x:v>
      </x:c>
      <x:c r="M23" t="str">
        <x:f>IFS(I23&gt;=100000,"High",I23&gt;=50000,"Medium",TRUE,"Low")</x:f>
        <x:v>Low</x:v>
      </x:c>
      <x:c r="N23" t="str">
        <x:f>IF(AND(J23="Completed",I23&gt;=50000),"Priority","Normal")</x:f>
        <x:v>Normal</x:v>
      </x:c>
      <x:c r="O23" t="str">
        <x:f>IF(OR(A23="",C23="",E23=""),"Check","OK")</x:f>
        <x:v>OK</x:v>
      </x:c>
    </x:row>
    <x:row r="24">
      <x:c r="A24" t="str">
        <x:v>O020</x:v>
      </x:c>
      <x:c r="B24" s="36" t="n">
        <x:v>46177</x:v>
      </x:c>
      <x:c r="C24" t="str">
        <x:v>West</x:v>
      </x:c>
      <x:c r="D24" t="str">
        <x:v>Electronics</x:v>
      </x:c>
      <x:c r="E24" t="str">
        <x:v>Printer</x:v>
      </x:c>
      <x:c r="F24" t="n">
        <x:v>6</x:v>
      </x:c>
      <x:c r="G24" s="38" t="n">
        <x:v>12000</x:v>
      </x:c>
      <x:c r="H24" s="38" t="n">
        <x:v>57000</x:v>
      </x:c>
      <x:c r="I24" s="38" t="n">
        <x:v>72000</x:v>
      </x:c>
      <x:c r="J24" t="str">
        <x:v>Cancelled</x:v>
      </x:c>
      <x:c r="K24" t="str">
        <x:v>Neha</x:v>
      </x:c>
      <x:c r="L24" s="38" t="n">
        <x:v>15000</x:v>
      </x:c>
      <x:c r="M24" t="str">
        <x:f>IFS(I24&gt;=100000,"High",I24&gt;=50000,"Medium",TRUE,"Low")</x:f>
        <x:v>Medium</x:v>
      </x:c>
      <x:c r="N24" t="str">
        <x:f>IF(AND(J24="Completed",I24&gt;=50000),"Priority","Normal")</x:f>
        <x:v>Normal</x:v>
      </x:c>
      <x:c r="O24" t="str">
        <x:f>IF(OR(A24="",C24="",E24=""),"Check","OK")</x:f>
        <x:v>OK</x:v>
      </x:c>
    </x:row>
    <x:row r="25">
      <x:c r="A25" t="str">
        <x:v>O021</x:v>
      </x:c>
      <x:c r="B25" s="36" t="n">
        <x:v>46182</x:v>
      </x:c>
      <x:c r="C25" t="str">
        <x:v>North</x:v>
      </x:c>
      <x:c r="D25" t="str">
        <x:v>Electronics</x:v>
      </x:c>
      <x:c r="E25" t="str">
        <x:v>Laptop</x:v>
      </x:c>
      <x:c r="F25" t="n">
        <x:v>1</x:v>
      </x:c>
      <x:c r="G25" s="38" t="n">
        <x:v>55000</x:v>
      </x:c>
      <x:c r="H25" s="38" t="n">
        <x:v>47000</x:v>
      </x:c>
      <x:c r="I25" s="38" t="n">
        <x:v>55000</x:v>
      </x:c>
      <x:c r="J25" t="str">
        <x:v>Completed</x:v>
      </x:c>
      <x:c r="K25" t="str">
        <x:v>Aman</x:v>
      </x:c>
      <x:c r="L25" s="38" t="n">
        <x:v>8000</x:v>
      </x:c>
      <x:c r="M25" t="str">
        <x:f>IFS(I25&gt;=100000,"High",I25&gt;=50000,"Medium",TRUE,"Low")</x:f>
        <x:v>Medium</x:v>
      </x:c>
      <x:c r="N25" t="str">
        <x:f>IF(AND(J25="Completed",I25&gt;=50000),"Priority","Normal")</x:f>
        <x:v>Priority</x:v>
      </x:c>
      <x:c r="O25" t="str">
        <x:f>IF(OR(A25="",C25="",E25=""),"Check","OK")</x:f>
        <x:v>OK</x:v>
      </x:c>
    </x:row>
    <x:row r="26">
      <x:c r="A26" t="str">
        <x:v>O022</x:v>
      </x:c>
      <x:c r="B26" s="36" t="n">
        <x:v>46187</x:v>
      </x:c>
      <x:c r="C26" t="str">
        <x:v>South</x:v>
      </x:c>
      <x:c r="D26" t="str">
        <x:v>Accessories</x:v>
      </x:c>
      <x:c r="E26" t="str">
        <x:v>Mouse</x:v>
      </x:c>
      <x:c r="F26" t="n">
        <x:v>2</x:v>
      </x:c>
      <x:c r="G26" s="38" t="n">
        <x:v>1200</x:v>
      </x:c>
      <x:c r="H26" s="38" t="n">
        <x:v>1400</x:v>
      </x:c>
      <x:c r="I26" s="38" t="n">
        <x:v>2400</x:v>
      </x:c>
      <x:c r="J26" t="str">
        <x:v>Pending</x:v>
      </x:c>
      <x:c r="K26" t="str">
        <x:v>Riya</x:v>
      </x:c>
      <x:c r="L26" s="38" t="n">
        <x:v>1000</x:v>
      </x:c>
      <x:c r="M26" t="str">
        <x:f>IFS(I26&gt;=100000,"High",I26&gt;=50000,"Medium",TRUE,"Low")</x:f>
        <x:v>Low</x:v>
      </x:c>
      <x:c r="N26" t="str">
        <x:f>IF(AND(J26="Completed",I26&gt;=50000),"Priority","Normal")</x:f>
        <x:v>Normal</x:v>
      </x:c>
      <x:c r="O26" t="str">
        <x:f>IF(OR(A26="",C26="",E26=""),"Check","OK")</x:f>
        <x:v>OK</x:v>
      </x:c>
    </x:row>
    <x:row r="27">
      <x:c r="A27" t="str">
        <x:v>O023</x:v>
      </x:c>
      <x:c r="B27" s="36" t="n">
        <x:v>46192</x:v>
      </x:c>
      <x:c r="C27" t="str">
        <x:v>East</x:v>
      </x:c>
      <x:c r="D27" t="str">
        <x:v>Accessories</x:v>
      </x:c>
      <x:c r="E27" t="str">
        <x:v>Keyboard</x:v>
      </x:c>
      <x:c r="F27" t="n">
        <x:v>3</x:v>
      </x:c>
      <x:c r="G27" s="38" t="n">
        <x:v>2500</x:v>
      </x:c>
      <x:c r="H27" s="38" t="n">
        <x:v>4500</x:v>
      </x:c>
      <x:c r="I27" s="38" t="n">
        <x:v>7500</x:v>
      </x:c>
      <x:c r="J27" t="str">
        <x:v>Cancelled</x:v>
      </x:c>
      <x:c r="K27" t="str">
        <x:v>Rahul</x:v>
      </x:c>
      <x:c r="L27" s="38" t="n">
        <x:v>3000</x:v>
      </x:c>
      <x:c r="M27" t="str">
        <x:f>IFS(I27&gt;=100000,"High",I27&gt;=50000,"Medium",TRUE,"Low")</x:f>
        <x:v>Low</x:v>
      </x:c>
      <x:c r="N27" t="str">
        <x:f>IF(AND(J27="Completed",I27&gt;=50000),"Priority","Normal")</x:f>
        <x:v>Normal</x:v>
      </x:c>
      <x:c r="O27" t="str">
        <x:f>IF(OR(A27="",C27="",E27=""),"Check","OK")</x:f>
        <x:v>OK</x:v>
      </x:c>
    </x:row>
    <x:row r="28">
      <x:c r="A28" t="str">
        <x:v>O024</x:v>
      </x:c>
      <x:c r="B28" s="36" t="n">
        <x:v>46197</x:v>
      </x:c>
      <x:c r="C28" t="str">
        <x:v>West</x:v>
      </x:c>
      <x:c r="D28" t="str">
        <x:v>Electronics</x:v>
      </x:c>
      <x:c r="E28" t="str">
        <x:v>Monitor</x:v>
      </x:c>
      <x:c r="F28" t="n">
        <x:v>4</x:v>
      </x:c>
      <x:c r="G28" s="38" t="n">
        <x:v>18000</x:v>
      </x:c>
      <x:c r="H28" s="38" t="n">
        <x:v>58000</x:v>
      </x:c>
      <x:c r="I28" s="38" t="n">
        <x:v>72000</x:v>
      </x:c>
      <x:c r="J28" t="str">
        <x:v>Completed</x:v>
      </x:c>
      <x:c r="K28" t="str">
        <x:v>Neha</x:v>
      </x:c>
      <x:c r="L28" s="38" t="n">
        <x:v>14000</x:v>
      </x:c>
      <x:c r="M28" t="str">
        <x:f>IFS(I28&gt;=100000,"High",I28&gt;=50000,"Medium",TRUE,"Low")</x:f>
        <x:v>Medium</x:v>
      </x:c>
      <x:c r="N28" t="str">
        <x:f>IF(AND(J28="Completed",I28&gt;=50000),"Priority","Normal")</x:f>
        <x:v>Priority</x:v>
      </x:c>
      <x:c r="O28" t="str">
        <x:f>IF(OR(A28="",C28="",E28=""),"Check","OK")</x:f>
        <x:v>OK</x:v>
      </x:c>
    </x:row>
    <x:row r="29">
      <x:c r="A29" t="str">
        <x:v>O025</x:v>
      </x:c>
      <x:c r="B29" s="36" t="n">
        <x:v>46202</x:v>
      </x:c>
      <x:c r="C29" t="str">
        <x:v>North</x:v>
      </x:c>
      <x:c r="D29" t="str">
        <x:v>Accessories</x:v>
      </x:c>
      <x:c r="E29" t="str">
        <x:v>Headphones</x:v>
      </x:c>
      <x:c r="F29" t="n">
        <x:v>5</x:v>
      </x:c>
      <x:c r="G29" s="38" t="n">
        <x:v>3500</x:v>
      </x:c>
      <x:c r="H29" s="38" t="n">
        <x:v>11000</x:v>
      </x:c>
      <x:c r="I29" s="38" t="n">
        <x:v>17500</x:v>
      </x:c>
      <x:c r="J29" t="str">
        <x:v>Pending</x:v>
      </x:c>
      <x:c r="K29" t="str">
        <x:v>Aman</x:v>
      </x:c>
      <x:c r="L29" s="38" t="n">
        <x:v>6500</x:v>
      </x:c>
      <x:c r="M29" t="str">
        <x:f>IFS(I29&gt;=100000,"High",I29&gt;=50000,"Medium",TRUE,"Low")</x:f>
        <x:v>Low</x:v>
      </x:c>
      <x:c r="N29" t="str">
        <x:f>IF(AND(J29="Completed",I29&gt;=50000),"Priority","Normal")</x:f>
        <x:v>Normal</x:v>
      </x:c>
      <x:c r="O29" t="str">
        <x:f>IF(OR(A29="",C29="",E29=""),"Check","OK")</x:f>
        <x:v>OK</x:v>
      </x:c>
    </x:row>
    <x:row r="30">
      <x:c r="A30" t="str">
        <x:v>O026</x:v>
      </x:c>
      <x:c r="B30" s="36" t="n">
        <x:v>46207</x:v>
      </x:c>
      <x:c r="C30" t="str">
        <x:v>South</x:v>
      </x:c>
      <x:c r="D30" t="str">
        <x:v>Electronics</x:v>
      </x:c>
      <x:c r="E30" t="str">
        <x:v>Printer</x:v>
      </x:c>
      <x:c r="F30" t="n">
        <x:v>6</x:v>
      </x:c>
      <x:c r="G30" s="38" t="n">
        <x:v>12000</x:v>
      </x:c>
      <x:c r="H30" s="38" t="n">
        <x:v>57000</x:v>
      </x:c>
      <x:c r="I30" s="38" t="n">
        <x:v>72000</x:v>
      </x:c>
      <x:c r="J30" t="str">
        <x:v>Cancelled</x:v>
      </x:c>
      <x:c r="K30" t="str">
        <x:v>Riya</x:v>
      </x:c>
      <x:c r="L30" s="38" t="n">
        <x:v>15000</x:v>
      </x:c>
      <x:c r="M30" t="str">
        <x:f>IFS(I30&gt;=100000,"High",I30&gt;=50000,"Medium",TRUE,"Low")</x:f>
        <x:v>Medium</x:v>
      </x:c>
      <x:c r="N30" t="str">
        <x:f>IF(AND(J30="Completed",I30&gt;=50000),"Priority","Normal")</x:f>
        <x:v>Normal</x:v>
      </x:c>
      <x:c r="O30" t="str">
        <x:f>IF(OR(A30="",C30="",E30=""),"Check","OK")</x:f>
        <x:v>OK</x:v>
      </x:c>
    </x:row>
    <x:row r="31">
      <x:c r="A31" t="str">
        <x:v>O027</x:v>
      </x:c>
      <x:c r="B31" s="36" t="n">
        <x:v>46212</x:v>
      </x:c>
      <x:c r="C31" t="str">
        <x:v>East</x:v>
      </x:c>
      <x:c r="D31" t="str">
        <x:v>Electronics</x:v>
      </x:c>
      <x:c r="E31" t="str">
        <x:v>Laptop</x:v>
      </x:c>
      <x:c r="F31" t="n">
        <x:v>1</x:v>
      </x:c>
      <x:c r="G31" s="38" t="n">
        <x:v>55000</x:v>
      </x:c>
      <x:c r="H31" s="38" t="n">
        <x:v>47000</x:v>
      </x:c>
      <x:c r="I31" s="38" t="n">
        <x:v>55000</x:v>
      </x:c>
      <x:c r="J31" t="str">
        <x:v>Completed</x:v>
      </x:c>
      <x:c r="K31" t="str">
        <x:v>Rahul</x:v>
      </x:c>
      <x:c r="L31" s="38" t="n">
        <x:v>8000</x:v>
      </x:c>
      <x:c r="M31" t="str">
        <x:f>IFS(I31&gt;=100000,"High",I31&gt;=50000,"Medium",TRUE,"Low")</x:f>
        <x:v>Medium</x:v>
      </x:c>
      <x:c r="N31" t="str">
        <x:f>IF(AND(J31="Completed",I31&gt;=50000),"Priority","Normal")</x:f>
        <x:v>Priority</x:v>
      </x:c>
      <x:c r="O31" t="str">
        <x:f>IF(OR(A31="",C31="",E31=""),"Check","OK")</x:f>
        <x:v>OK</x:v>
      </x:c>
    </x:row>
    <x:row r="32">
      <x:c r="A32" t="str">
        <x:v>O028</x:v>
      </x:c>
      <x:c r="B32" s="36" t="n">
        <x:v>46217</x:v>
      </x:c>
      <x:c r="C32" t="str">
        <x:v>West</x:v>
      </x:c>
      <x:c r="D32" t="str">
        <x:v>Accessories</x:v>
      </x:c>
      <x:c r="E32" t="str">
        <x:v>Mouse</x:v>
      </x:c>
      <x:c r="F32" t="n">
        <x:v>2</x:v>
      </x:c>
      <x:c r="G32" s="38" t="n">
        <x:v>1200</x:v>
      </x:c>
      <x:c r="H32" s="38" t="n">
        <x:v>1400</x:v>
      </x:c>
      <x:c r="I32" s="38" t="n">
        <x:v>2400</x:v>
      </x:c>
      <x:c r="J32" t="str">
        <x:v>Pending</x:v>
      </x:c>
      <x:c r="K32" t="str">
        <x:v>Neha</x:v>
      </x:c>
      <x:c r="L32" s="38" t="n">
        <x:v>1000</x:v>
      </x:c>
      <x:c r="M32" t="str">
        <x:f>IFS(I32&gt;=100000,"High",I32&gt;=50000,"Medium",TRUE,"Low")</x:f>
        <x:v>Low</x:v>
      </x:c>
      <x:c r="N32" t="str">
        <x:f>IF(AND(J32="Completed",I32&gt;=50000),"Priority","Normal")</x:f>
        <x:v>Normal</x:v>
      </x:c>
      <x:c r="O32" t="str">
        <x:f>IF(OR(A32="",C32="",E32=""),"Check","OK")</x:f>
        <x:v>OK</x:v>
      </x:c>
    </x:row>
    <x:row r="33">
      <x:c r="A33" t="str">
        <x:v>O029</x:v>
      </x:c>
      <x:c r="B33" s="36" t="n">
        <x:v>46222</x:v>
      </x:c>
      <x:c r="C33" t="str">
        <x:v>North</x:v>
      </x:c>
      <x:c r="D33" t="str">
        <x:v>Accessories</x:v>
      </x:c>
      <x:c r="E33" t="str">
        <x:v>Keyboard</x:v>
      </x:c>
      <x:c r="F33" t="n">
        <x:v>3</x:v>
      </x:c>
      <x:c r="G33" s="38" t="n">
        <x:v>2500</x:v>
      </x:c>
      <x:c r="H33" s="38" t="n">
        <x:v>4500</x:v>
      </x:c>
      <x:c r="I33" s="38" t="n">
        <x:v>7500</x:v>
      </x:c>
      <x:c r="J33" t="str">
        <x:v>Cancelled</x:v>
      </x:c>
      <x:c r="K33" t="str">
        <x:v>Aman</x:v>
      </x:c>
      <x:c r="L33" s="38" t="n">
        <x:v>3000</x:v>
      </x:c>
      <x:c r="M33" t="str">
        <x:f>IFS(I33&gt;=100000,"High",I33&gt;=50000,"Medium",TRUE,"Low")</x:f>
        <x:v>Low</x:v>
      </x:c>
      <x:c r="N33" t="str">
        <x:f>IF(AND(J33="Completed",I33&gt;=50000),"Priority","Normal")</x:f>
        <x:v>Normal</x:v>
      </x:c>
      <x:c r="O33" t="str">
        <x:f>IF(OR(A33="",C33="",E33=""),"Check","OK")</x:f>
        <x:v>OK</x:v>
      </x:c>
    </x:row>
    <x:row r="34">
      <x:c r="A34" t="str">
        <x:v>O030</x:v>
      </x:c>
      <x:c r="B34" s="36" t="n">
        <x:v>46227</x:v>
      </x:c>
      <x:c r="C34" t="str">
        <x:v>South</x:v>
      </x:c>
      <x:c r="D34" t="str">
        <x:v>Electronics</x:v>
      </x:c>
      <x:c r="E34" t="str">
        <x:v>Monitor</x:v>
      </x:c>
      <x:c r="F34" t="n">
        <x:v>4</x:v>
      </x:c>
      <x:c r="G34" s="38" t="n">
        <x:v>18000</x:v>
      </x:c>
      <x:c r="H34" s="38" t="n">
        <x:v>58000</x:v>
      </x:c>
      <x:c r="I34" s="38" t="n">
        <x:v>72000</x:v>
      </x:c>
      <x:c r="J34" t="str">
        <x:v>Completed</x:v>
      </x:c>
      <x:c r="K34" t="str">
        <x:v>Riya</x:v>
      </x:c>
      <x:c r="L34" s="38" t="n">
        <x:v>14000</x:v>
      </x:c>
      <x:c r="M34" t="str">
        <x:f>IFS(I34&gt;=100000,"High",I34&gt;=50000,"Medium",TRUE,"Low")</x:f>
        <x:v>Medium</x:v>
      </x:c>
      <x:c r="N34" t="str">
        <x:f>IF(AND(J34="Completed",I34&gt;=50000),"Priority","Normal")</x:f>
        <x:v>Priority</x:v>
      </x:c>
      <x:c r="O34" t="str">
        <x:f>IF(OR(A34="",C34="",E34=""),"Check","OK")</x:f>
        <x:v>OK</x:v>
      </x:c>
    </x:row>
    <x:row r="35">
      <x:c r="A35" t="str">
        <x:v>O031</x:v>
      </x:c>
      <x:c r="B35" s="36" t="n">
        <x:v>46232</x:v>
      </x:c>
      <x:c r="C35" t="str">
        <x:v>East</x:v>
      </x:c>
      <x:c r="D35" t="str">
        <x:v>Accessories</x:v>
      </x:c>
      <x:c r="E35" t="str">
        <x:v>Headphones</x:v>
      </x:c>
      <x:c r="F35" t="n">
        <x:v>5</x:v>
      </x:c>
      <x:c r="G35" s="38" t="n">
        <x:v>3500</x:v>
      </x:c>
      <x:c r="H35" s="38" t="n">
        <x:v>11000</x:v>
      </x:c>
      <x:c r="I35" s="38" t="n">
        <x:v>17500</x:v>
      </x:c>
      <x:c r="J35" t="str">
        <x:v>Pending</x:v>
      </x:c>
      <x:c r="K35" t="str">
        <x:v>Rahul</x:v>
      </x:c>
      <x:c r="L35" s="38" t="n">
        <x:v>6500</x:v>
      </x:c>
      <x:c r="M35" t="str">
        <x:f>IFS(I35&gt;=100000,"High",I35&gt;=50000,"Medium",TRUE,"Low")</x:f>
        <x:v>Low</x:v>
      </x:c>
      <x:c r="N35" t="str">
        <x:f>IF(AND(J35="Completed",I35&gt;=50000),"Priority","Normal")</x:f>
        <x:v>Normal</x:v>
      </x:c>
      <x:c r="O35" t="str">
        <x:f>IF(OR(A35="",C35="",E35=""),"Check","OK")</x:f>
        <x:v>OK</x:v>
      </x:c>
    </x:row>
    <x:row r="36">
      <x:c r="A36" t="str">
        <x:v>O032</x:v>
      </x:c>
      <x:c r="B36" s="36" t="n">
        <x:v>46237</x:v>
      </x:c>
      <x:c r="C36" t="str">
        <x:v>West</x:v>
      </x:c>
      <x:c r="D36" t="str">
        <x:v>Electronics</x:v>
      </x:c>
      <x:c r="E36" t="str">
        <x:v>Printer</x:v>
      </x:c>
      <x:c r="F36" t="n">
        <x:v>6</x:v>
      </x:c>
      <x:c r="G36" s="38" t="n">
        <x:v>12000</x:v>
      </x:c>
      <x:c r="H36" s="38" t="n">
        <x:v>57000</x:v>
      </x:c>
      <x:c r="I36" s="38" t="n">
        <x:v>72000</x:v>
      </x:c>
      <x:c r="J36" t="str">
        <x:v>Cancelled</x:v>
      </x:c>
      <x:c r="K36" t="str">
        <x:v>Neha</x:v>
      </x:c>
      <x:c r="L36" s="38" t="n">
        <x:v>15000</x:v>
      </x:c>
      <x:c r="M36" t="str">
        <x:f>IFS(I36&gt;=100000,"High",I36&gt;=50000,"Medium",TRUE,"Low")</x:f>
        <x:v>Medium</x:v>
      </x:c>
      <x:c r="N36" t="str">
        <x:f>IF(AND(J36="Completed",I36&gt;=50000),"Priority","Normal")</x:f>
        <x:v>Normal</x:v>
      </x:c>
      <x:c r="O36" t="str">
        <x:f>IF(OR(A36="",C36="",E36=""),"Check","OK")</x:f>
        <x:v>OK</x:v>
      </x:c>
    </x:row>
    <x:row r="37">
      <x:c r="A37" t="str">
        <x:v>O033</x:v>
      </x:c>
      <x:c r="B37" s="36" t="n">
        <x:v>46242</x:v>
      </x:c>
      <x:c r="C37" t="str">
        <x:v>North</x:v>
      </x:c>
      <x:c r="D37" t="str">
        <x:v>Electronics</x:v>
      </x:c>
      <x:c r="E37" t="str">
        <x:v>Laptop</x:v>
      </x:c>
      <x:c r="F37" t="n">
        <x:v>1</x:v>
      </x:c>
      <x:c r="G37" s="38" t="n">
        <x:v>55000</x:v>
      </x:c>
      <x:c r="H37" s="38" t="n">
        <x:v>47000</x:v>
      </x:c>
      <x:c r="I37" s="38" t="n">
        <x:v>55000</x:v>
      </x:c>
      <x:c r="J37" t="str">
        <x:v>Completed</x:v>
      </x:c>
      <x:c r="K37" t="str">
        <x:v>Aman</x:v>
      </x:c>
      <x:c r="L37" s="38" t="n">
        <x:v>8000</x:v>
      </x:c>
      <x:c r="M37" t="str">
        <x:f>IFS(I37&gt;=100000,"High",I37&gt;=50000,"Medium",TRUE,"Low")</x:f>
        <x:v>Medium</x:v>
      </x:c>
      <x:c r="N37" t="str">
        <x:f>IF(AND(J37="Completed",I37&gt;=50000),"Priority","Normal")</x:f>
        <x:v>Priority</x:v>
      </x:c>
      <x:c r="O37" t="str">
        <x:f>IF(OR(A37="",C37="",E37=""),"Check","OK")</x:f>
        <x:v>OK</x:v>
      </x:c>
    </x:row>
    <x:row r="38">
      <x:c r="A38" t="str">
        <x:v>O034</x:v>
      </x:c>
      <x:c r="B38" s="36" t="n">
        <x:v>46247</x:v>
      </x:c>
      <x:c r="C38" t="str">
        <x:v>South</x:v>
      </x:c>
      <x:c r="D38" t="str">
        <x:v>Accessories</x:v>
      </x:c>
      <x:c r="E38" t="str">
        <x:v>Mouse</x:v>
      </x:c>
      <x:c r="F38" t="n">
        <x:v>2</x:v>
      </x:c>
      <x:c r="G38" s="38" t="n">
        <x:v>1200</x:v>
      </x:c>
      <x:c r="H38" s="38" t="n">
        <x:v>1400</x:v>
      </x:c>
      <x:c r="I38" s="38" t="n">
        <x:v>2400</x:v>
      </x:c>
      <x:c r="J38" t="str">
        <x:v>Pending</x:v>
      </x:c>
      <x:c r="K38" t="str">
        <x:v>Riya</x:v>
      </x:c>
      <x:c r="L38" s="38" t="n">
        <x:v>1000</x:v>
      </x:c>
      <x:c r="M38" t="str">
        <x:f>IFS(I38&gt;=100000,"High",I38&gt;=50000,"Medium",TRUE,"Low")</x:f>
        <x:v>Low</x:v>
      </x:c>
      <x:c r="N38" t="str">
        <x:f>IF(AND(J38="Completed",I38&gt;=50000),"Priority","Normal")</x:f>
        <x:v>Normal</x:v>
      </x:c>
      <x:c r="O38" t="str">
        <x:f>IF(OR(A38="",C38="",E38=""),"Check","OK")</x:f>
        <x:v>OK</x:v>
      </x:c>
    </x:row>
    <x:row r="39">
      <x:c r="A39" t="str">
        <x:v>O035</x:v>
      </x:c>
      <x:c r="B39" s="36" t="n">
        <x:v>46252</x:v>
      </x:c>
      <x:c r="C39" t="str">
        <x:v>East</x:v>
      </x:c>
      <x:c r="D39" t="str">
        <x:v>Accessories</x:v>
      </x:c>
      <x:c r="E39" t="str">
        <x:v>Keyboard</x:v>
      </x:c>
      <x:c r="F39" t="n">
        <x:v>3</x:v>
      </x:c>
      <x:c r="G39" s="38" t="n">
        <x:v>2500</x:v>
      </x:c>
      <x:c r="H39" s="38" t="n">
        <x:v>4500</x:v>
      </x:c>
      <x:c r="I39" s="38" t="n">
        <x:v>7500</x:v>
      </x:c>
      <x:c r="J39" t="str">
        <x:v>Cancelled</x:v>
      </x:c>
      <x:c r="K39" t="str">
        <x:v>Rahul</x:v>
      </x:c>
      <x:c r="L39" s="38" t="n">
        <x:v>3000</x:v>
      </x:c>
      <x:c r="M39" t="str">
        <x:f>IFS(I39&gt;=100000,"High",I39&gt;=50000,"Medium",TRUE,"Low")</x:f>
        <x:v>Low</x:v>
      </x:c>
      <x:c r="N39" t="str">
        <x:f>IF(AND(J39="Completed",I39&gt;=50000),"Priority","Normal")</x:f>
        <x:v>Normal</x:v>
      </x:c>
      <x:c r="O39" t="str">
        <x:f>IF(OR(A39="",C39="",E39=""),"Check","OK")</x:f>
        <x:v>OK</x:v>
      </x:c>
    </x:row>
    <x:row r="40">
      <x:c r="A40" t="str">
        <x:v>O036</x:v>
      </x:c>
      <x:c r="B40" s="36" t="n">
        <x:v>46257</x:v>
      </x:c>
      <x:c r="C40" t="str">
        <x:v>West</x:v>
      </x:c>
      <x:c r="D40" t="str">
        <x:v>Electronics</x:v>
      </x:c>
      <x:c r="E40" t="str">
        <x:v>Monitor</x:v>
      </x:c>
      <x:c r="F40" t="n">
        <x:v>4</x:v>
      </x:c>
      <x:c r="G40" s="38" t="n">
        <x:v>18000</x:v>
      </x:c>
      <x:c r="H40" s="38" t="n">
        <x:v>58000</x:v>
      </x:c>
      <x:c r="I40" s="38" t="n">
        <x:v>72000</x:v>
      </x:c>
      <x:c r="J40" t="str">
        <x:v>Completed</x:v>
      </x:c>
      <x:c r="K40" t="str">
        <x:v>Neha</x:v>
      </x:c>
      <x:c r="L40" s="38" t="n">
        <x:v>14000</x:v>
      </x:c>
      <x:c r="M40" t="str">
        <x:f>IFS(I40&gt;=100000,"High",I40&gt;=50000,"Medium",TRUE,"Low")</x:f>
        <x:v>Medium</x:v>
      </x:c>
      <x:c r="N40" t="str">
        <x:f>IF(AND(J40="Completed",I40&gt;=50000),"Priority","Normal")</x:f>
        <x:v>Priority</x:v>
      </x:c>
      <x:c r="O40" t="str">
        <x:f>IF(OR(A40="",C40="",E40=""),"Check","OK")</x:f>
        <x:v>OK</x:v>
      </x:c>
    </x:row>
    <x:row r="41">
      <x:c r="A41" t="str">
        <x:v>O037</x:v>
      </x:c>
      <x:c r="B41" s="36" t="n">
        <x:v>46262</x:v>
      </x:c>
      <x:c r="C41" t="str">
        <x:v>North</x:v>
      </x:c>
      <x:c r="D41" t="str">
        <x:v>Accessories</x:v>
      </x:c>
      <x:c r="E41" t="str">
        <x:v>Headphones</x:v>
      </x:c>
      <x:c r="F41" t="n">
        <x:v>5</x:v>
      </x:c>
      <x:c r="G41" s="38" t="n">
        <x:v>3500</x:v>
      </x:c>
      <x:c r="H41" s="38" t="n">
        <x:v>11000</x:v>
      </x:c>
      <x:c r="I41" s="38" t="n">
        <x:v>17500</x:v>
      </x:c>
      <x:c r="J41" t="str">
        <x:v>Pending</x:v>
      </x:c>
      <x:c r="K41" t="str">
        <x:v>Aman</x:v>
      </x:c>
      <x:c r="L41" s="38" t="n">
        <x:v>6500</x:v>
      </x:c>
      <x:c r="M41" t="str">
        <x:f>IFS(I41&gt;=100000,"High",I41&gt;=50000,"Medium",TRUE,"Low")</x:f>
        <x:v>Low</x:v>
      </x:c>
      <x:c r="N41" t="str">
        <x:f>IF(AND(J41="Completed",I41&gt;=50000),"Priority","Normal")</x:f>
        <x:v>Normal</x:v>
      </x:c>
      <x:c r="O41" t="str">
        <x:f>IF(OR(A41="",C41="",E41=""),"Check","OK")</x:f>
        <x:v>OK</x:v>
      </x:c>
    </x:row>
    <x:row r="42">
      <x:c r="A42" t="str">
        <x:v>O038</x:v>
      </x:c>
      <x:c r="B42" s="36" t="n">
        <x:v>46267</x:v>
      </x:c>
      <x:c r="C42" t="str">
        <x:v>South</x:v>
      </x:c>
      <x:c r="D42" t="str">
        <x:v>Electronics</x:v>
      </x:c>
      <x:c r="E42" t="str">
        <x:v>Printer</x:v>
      </x:c>
      <x:c r="F42" t="n">
        <x:v>6</x:v>
      </x:c>
      <x:c r="G42" s="38" t="n">
        <x:v>12000</x:v>
      </x:c>
      <x:c r="H42" s="38" t="n">
        <x:v>57000</x:v>
      </x:c>
      <x:c r="I42" s="38" t="n">
        <x:v>72000</x:v>
      </x:c>
      <x:c r="J42" t="str">
        <x:v>Cancelled</x:v>
      </x:c>
      <x:c r="K42" t="str">
        <x:v>Riya</x:v>
      </x:c>
      <x:c r="L42" s="38" t="n">
        <x:v>15000</x:v>
      </x:c>
      <x:c r="M42" t="str">
        <x:f>IFS(I42&gt;=100000,"High",I42&gt;=50000,"Medium",TRUE,"Low")</x:f>
        <x:v>Medium</x:v>
      </x:c>
      <x:c r="N42" t="str">
        <x:f>IF(AND(J42="Completed",I42&gt;=50000),"Priority","Normal")</x:f>
        <x:v>Normal</x:v>
      </x:c>
      <x:c r="O42" t="str">
        <x:f>IF(OR(A42="",C42="",E42=""),"Check","OK")</x:f>
        <x:v>OK</x:v>
      </x:c>
    </x:row>
    <x:row r="43">
      <x:c r="A43" t="str">
        <x:v>O039</x:v>
      </x:c>
      <x:c r="B43" s="36" t="n">
        <x:v>46272</x:v>
      </x:c>
      <x:c r="C43" t="str">
        <x:v>East</x:v>
      </x:c>
      <x:c r="D43" t="str">
        <x:v>Electronics</x:v>
      </x:c>
      <x:c r="E43" t="str">
        <x:v>Laptop</x:v>
      </x:c>
      <x:c r="F43" t="n">
        <x:v>1</x:v>
      </x:c>
      <x:c r="G43" s="38" t="n">
        <x:v>55000</x:v>
      </x:c>
      <x:c r="H43" s="38" t="n">
        <x:v>47000</x:v>
      </x:c>
      <x:c r="I43" s="38" t="n">
        <x:v>55000</x:v>
      </x:c>
      <x:c r="J43" t="str">
        <x:v>Completed</x:v>
      </x:c>
      <x:c r="K43" t="str">
        <x:v>Rahul</x:v>
      </x:c>
      <x:c r="L43" s="38" t="n">
        <x:v>8000</x:v>
      </x:c>
      <x:c r="M43" t="str">
        <x:f>IFS(I43&gt;=100000,"High",I43&gt;=50000,"Medium",TRUE,"Low")</x:f>
        <x:v>Medium</x:v>
      </x:c>
      <x:c r="N43" t="str">
        <x:f>IF(AND(J43="Completed",I43&gt;=50000),"Priority","Normal")</x:f>
        <x:v>Priority</x:v>
      </x:c>
      <x:c r="O43" t="str">
        <x:f>IF(OR(A43="",C43="",E43=""),"Check","OK")</x:f>
        <x:v>OK</x:v>
      </x:c>
    </x:row>
    <x:row r="44">
      <x:c r="A44" t="str">
        <x:v>O040</x:v>
      </x:c>
      <x:c r="B44" s="36" t="n">
        <x:v>46277</x:v>
      </x:c>
      <x:c r="C44" t="str">
        <x:v>West</x:v>
      </x:c>
      <x:c r="D44" t="str">
        <x:v>Accessories</x:v>
      </x:c>
      <x:c r="E44" t="str">
        <x:v>Mouse</x:v>
      </x:c>
      <x:c r="F44" t="n">
        <x:v>2</x:v>
      </x:c>
      <x:c r="G44" s="38" t="n">
        <x:v>1200</x:v>
      </x:c>
      <x:c r="H44" s="38" t="n">
        <x:v>1400</x:v>
      </x:c>
      <x:c r="I44" s="38" t="n">
        <x:v>2400</x:v>
      </x:c>
      <x:c r="J44" t="str">
        <x:v>Pending</x:v>
      </x:c>
      <x:c r="K44" t="str">
        <x:v>Neha</x:v>
      </x:c>
      <x:c r="L44" s="38" t="n">
        <x:v>1000</x:v>
      </x:c>
      <x:c r="M44" t="str">
        <x:f>IFS(I44&gt;=100000,"High",I44&gt;=50000,"Medium",TRUE,"Low")</x:f>
        <x:v>Low</x:v>
      </x:c>
      <x:c r="N44" t="str">
        <x:f>IF(AND(J44="Completed",I44&gt;=50000),"Priority","Normal")</x:f>
        <x:v>Normal</x:v>
      </x:c>
      <x:c r="O44" t="str">
        <x:f>IF(OR(A44="",C44="",E44=""),"Check","OK")</x:f>
        <x:v>OK</x:v>
      </x:c>
    </x:row>
  </x:sheetData>
  <x:mergeCells>
    <x:mergeCell ref="A1:O1"/>
    <x:mergeCell ref="A2:O2"/>
  </x:mergeCells>
  <x:conditionalFormatting sqref="I5:I44">
    <x:cfRule type="dataBar" priority="1">
      <x:dataBar>
        <x:cfvo type="min"/>
        <x:cfvo type="max"/>
        <x:color rgb="FF156082"/>
      </x:dataBar>
      <x:extLst>
        <x:ext xmlns:x14="http://schemas.microsoft.com/office/spreadsheetml/2009/9/main" uri="{B025F937-C7B1-47D3-B67F-A62EFF666E3E}">
          <x14:id>{5BAF68C2-3DDB-CEE9-D912-D74D77F33377}</x14:id>
        </x:ext>
      </x:extLst>
    </x:cfRule>
  </x:conditionalFormatting>
  <x:conditionalFormatting sqref="J5:J44">
    <x:cfRule type="expression" dxfId="0" priority="2">
      <x:formula>J5="Pending"</x:formula>
    </x:cfRule>
  </x:conditionalFormatting>
  <x:conditionalFormatting sqref="N5:N44">
    <x:cfRule type="expression" dxfId="1" priority="3">
      <x:formula>N5="Priority"</x:formula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5BAF68C2-3DDB-CEE9-D912-D74D77F33377}">
            <x14:dataBar gradient="1">
              <x14:cfvo type="min"/>
              <x14:cfvo type="max"/>
              <x14:fillColor rgb="FF156082"/>
            </x14:dataBar>
          </x14:cfRule>
          <xm:sqref>I5:I44</xm:sqref>
        </x14:conditionalFormatting>
      </x14:conditionalFormattings>
    </x:ext>
  </x:extLst>
</x:worksheet>
</file>