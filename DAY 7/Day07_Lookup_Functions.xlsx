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66c09c7be9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91e5ae112574c10"/>
    <x:sheet xmlns:r="http://schemas.openxmlformats.org/officeDocument/2006/relationships" name="Orders" sheetId="2" r:id="R5709a0339f1a465c"/>
    <x:sheet xmlns:r="http://schemas.openxmlformats.org/officeDocument/2006/relationships" name="Product_Master" sheetId="3" r:id="R3cc0f8fc677242bf"/>
    <x:sheet xmlns:r="http://schemas.openxmlformats.org/officeDocument/2006/relationships" name="Lookups" sheetId="4" r:id="R96ea10df18de4f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₹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e71f533da14704" /><Relationship Type="http://schemas.openxmlformats.org/officeDocument/2006/relationships/theme" Target="/xl/theme/theme1.xml" Id="Re60ef8b5f62c41ca" /><Relationship Type="http://schemas.openxmlformats.org/officeDocument/2006/relationships/sharedStrings" Target="/xl/sharedStrings.xml" Id="Re9901750b303455f" /><Relationship Type="http://schemas.openxmlformats.org/officeDocument/2006/relationships/worksheet" Target="/xl/worksheets/sheet1.xml" Id="R891e5ae112574c10" /><Relationship Type="http://schemas.openxmlformats.org/officeDocument/2006/relationships/worksheet" Target="/xl/worksheets/sheet2.xml" Id="R5709a0339f1a465c" /><Relationship Type="http://schemas.openxmlformats.org/officeDocument/2006/relationships/worksheet" Target="/xl/worksheets/sheet3.xml" Id="R3cc0f8fc677242bf" /><Relationship Type="http://schemas.openxmlformats.org/officeDocument/2006/relationships/worksheet" Target="/xl/worksheets/sheet4.xml" Id="R96ea10df18de4f1d" /></Relationships>
</file>

<file path=xl/tables/table1.xml><?xml version="1.0" encoding="utf-8"?>
<x:table xmlns:x="http://schemas.openxmlformats.org/spreadsheetml/2006/main" id="1" name="ProductMasterTable" displayName="ProductMasterTable" ref="A4:E10" headerRowCount="1" totalsRowCount="0" totalsRowShown="0">
  <x:tableColumns count="5">
    <x:tableColumn id="1" name="Product ID"/>
    <x:tableColumn id="2" name="Product"/>
    <x:tableColumn id="3" name="Category"/>
    <x:tableColumn id="4" name="Unit Price"/>
    <x:tableColumn id="5" name="Unit Cos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c4029dc53dd41be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7 — Lookup Functions</x:v>
      </x:c>
    </x:row>
    <x:row r="2" ht="24" customHeight="1">
      <x:c r="A2" s="18" t="str">
        <x:v>14-day Excel Data Analytics GitHub repository | Day 7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Retrieve product attributes using VLOOKUP, INDEX+MATCH and XLOOKUP patterns.</x:v>
      </x:c>
    </x:row>
    <x:row r="6">
      <x:c r="A6" s="34" t="str">
        <x:v>Concepts</x:v>
      </x:c>
      <x:c r="B6" s="32" t="str">
        <x:v>VLOOKUP, HLOOKUP, INDEX+MATCH, XLOOKUP, exact match and IFERROR.</x:v>
      </x:c>
    </x:row>
    <x:row r="7">
      <x:c r="A7" s="34" t="str">
        <x:v>Practice Tasks</x:v>
      </x:c>
      <x:c r="B7" s="32" t="str">
        <x:v>1) Create a Product Master. 2) Look up category, unit price and unit cost from Product ID. 3) Add a not-found check.</x:v>
      </x:c>
    </x:row>
    <x:row r="8">
      <x:c r="A8" s="34" t="str">
        <x:v>Source Alignment</x:v>
      </x:c>
      <x:c r="B8" s="32" t="str">
        <x:v>Based on the user-provided Unit1&amp;2.pdf, pages 11–12 (lookup functions and comparison).</x:v>
      </x:c>
    </x:row>
    <x:row r="9">
      <x:c r="A9" s="34" t="str">
        <x:v>GitHub Commit Suggestion</x:v>
      </x:c>
      <x:c r="B9" s="32" t="str">
        <x:v>Day 7: Lookup Functions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 ht="28" customHeight="1">
      <x:c r="A1" s="5" t="str">
        <x:v>Order Lookup Practice</x:v>
      </x:c>
    </x:row>
    <x:row r="2" ht="24" customHeight="1">
      <x:c r="A2" s="18" t="str">
        <x:v>Use Product ID as the key to retrieve master attributes.</x:v>
      </x:c>
    </x:row>
    <x:row r="4">
      <x:c r="A4" s="24" t="str">
        <x:v>Order ID</x:v>
      </x:c>
      <x:c r="B4" s="24" t="str">
        <x:v>Product</x:v>
      </x:c>
      <x:c r="C4" s="24" t="str">
        <x:v>Quantity</x:v>
      </x:c>
      <x:c r="D4" s="24" t="str">
        <x:v>Unit Price (Known)</x:v>
      </x:c>
    </x:row>
    <x:row r="5">
      <x:c r="A5" t="str">
        <x:v>O101</x:v>
      </x:c>
      <x:c r="B5" t="str">
        <x:v>Laptop</x:v>
      </x:c>
      <x:c r="C5" t="n">
        <x:v>2</x:v>
      </x:c>
      <x:c r="D5" s="36" t="n">
        <x:v>55000</x:v>
      </x:c>
    </x:row>
    <x:row r="6">
      <x:c r="A6" t="str">
        <x:v>O102</x:v>
      </x:c>
      <x:c r="B6" t="str">
        <x:v>Mouse</x:v>
      </x:c>
      <x:c r="C6" t="n">
        <x:v>5</x:v>
      </x:c>
      <x:c r="D6" s="36" t="n">
        <x:v>1200</x:v>
      </x:c>
    </x:row>
    <x:row r="7">
      <x:c r="A7" t="str">
        <x:v>O103</x:v>
      </x:c>
      <x:c r="B7" t="str">
        <x:v>Keyboard</x:v>
      </x:c>
      <x:c r="C7" t="n">
        <x:v>3</x:v>
      </x:c>
      <x:c r="D7" s="36" t="n">
        <x:v>2500</x:v>
      </x:c>
    </x:row>
    <x:row r="8">
      <x:c r="A8" t="str">
        <x:v>O104</x:v>
      </x:c>
      <x:c r="B8" t="str">
        <x:v>Laptop</x:v>
      </x:c>
      <x:c r="C8" t="n">
        <x:v>1</x:v>
      </x:c>
      <x:c r="D8" s="36" t="n">
        <x:v>55000</x:v>
      </x:c>
    </x:row>
    <x:row r="9">
      <x:c r="A9" t="str">
        <x:v>O105</x:v>
      </x:c>
      <x:c r="B9" t="str">
        <x:v>Monitor</x:v>
      </x:c>
      <x:c r="C9" t="n">
        <x:v>2</x:v>
      </x:c>
      <x:c r="D9" s="36" t="n">
        <x:v>18000</x:v>
      </x:c>
    </x:row>
    <x:row r="10">
      <x:c r="A10" t="str">
        <x:v>O106</x:v>
      </x:c>
      <x:c r="B10" t="str">
        <x:v>Mouse</x:v>
      </x:c>
      <x:c r="C10" t="n">
        <x:v>10</x:v>
      </x:c>
      <x:c r="D10" s="36" t="n">
        <x:v>1200</x:v>
      </x:c>
    </x:row>
    <x:row r="11">
      <x:c r="A11" t="str">
        <x:v>O107</x:v>
      </x:c>
      <x:c r="B11" t="str">
        <x:v>Keyboard</x:v>
      </x:c>
      <x:c r="C11" t="n">
        <x:v>4</x:v>
      </x:c>
      <x:c r="D11" s="36" t="n">
        <x:v>2500</x:v>
      </x:c>
    </x:row>
    <x:row r="12">
      <x:c r="A12" t="str">
        <x:v>O108</x:v>
      </x:c>
      <x:c r="B12" t="str">
        <x:v>Laptop</x:v>
      </x:c>
      <x:c r="C12" t="n">
        <x:v>2</x:v>
      </x:c>
      <x:c r="D12" s="36" t="n">
        <x:v>55000</x:v>
      </x:c>
    </x:row>
    <x:row r="13">
      <x:c r="A13" t="str">
        <x:v>O009</x:v>
      </x:c>
      <x:c r="B13" t="str">
        <x:v>Laptop</x:v>
      </x:c>
      <x:c r="C13" t="n">
        <x:v>1</x:v>
      </x:c>
      <x:c r="D13" s="36" t="n">
        <x:v>55000</x:v>
      </x:c>
    </x:row>
    <x:row r="14">
      <x:c r="A14" t="str">
        <x:v>O010</x:v>
      </x:c>
      <x:c r="B14" t="str">
        <x:v>Mouse</x:v>
      </x:c>
      <x:c r="C14" t="n">
        <x:v>2</x:v>
      </x:c>
      <x:c r="D14" s="36" t="n">
        <x:v>1200</x:v>
      </x:c>
    </x:row>
    <x:row r="15">
      <x:c r="A15" t="str">
        <x:v>O011</x:v>
      </x:c>
      <x:c r="B15" t="str">
        <x:v>Keyboard</x:v>
      </x:c>
      <x:c r="C15" t="n">
        <x:v>3</x:v>
      </x:c>
      <x:c r="D15" s="36" t="n">
        <x:v>2500</x:v>
      </x:c>
    </x:row>
    <x:row r="16">
      <x:c r="A16" t="str">
        <x:v>O012</x:v>
      </x:c>
      <x:c r="B16" t="str">
        <x:v>Monitor</x:v>
      </x:c>
      <x:c r="C16" t="n">
        <x:v>4</x:v>
      </x:c>
      <x:c r="D16" s="36" t="n">
        <x:v>18000</x:v>
      </x:c>
    </x:row>
    <x:row r="17">
      <x:c r="A17" t="str">
        <x:v>O013</x:v>
      </x:c>
      <x:c r="B17" t="str">
        <x:v>Headphones</x:v>
      </x:c>
      <x:c r="C17" t="n">
        <x:v>5</x:v>
      </x:c>
      <x:c r="D17" s="36" t="n">
        <x:v>3500</x:v>
      </x:c>
    </x:row>
    <x:row r="18">
      <x:c r="A18" t="str">
        <x:v>O014</x:v>
      </x:c>
      <x:c r="B18" t="str">
        <x:v>Printer</x:v>
      </x:c>
      <x:c r="C18" t="n">
        <x:v>6</x:v>
      </x:c>
      <x:c r="D18" s="36" t="n">
        <x:v>12000</x:v>
      </x:c>
    </x:row>
    <x:row r="19">
      <x:c r="A19" t="str">
        <x:v>O015</x:v>
      </x:c>
      <x:c r="B19" t="str">
        <x:v>Laptop</x:v>
      </x:c>
      <x:c r="C19" t="n">
        <x:v>1</x:v>
      </x:c>
      <x:c r="D19" s="36" t="n">
        <x:v>55000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</x:cols>
  <x:sheetData>
    <x:row r="1" ht="28" customHeight="1">
      <x:c r="A1" s="5" t="str">
        <x:v>Product Master</x:v>
      </x:c>
    </x:row>
    <x:row r="2" ht="24" customHeight="1">
      <x:c r="A2" s="18" t="str">
        <x:v>Lookup table used for VLOOKUP / INDEX+MATCH / XLOOKUP practice.</x:v>
      </x:c>
    </x:row>
    <x:row r="4">
      <x:c r="A4" s="24" t="str">
        <x:v>Product ID</x:v>
      </x:c>
      <x:c r="B4" s="24" t="str">
        <x:v>Product</x:v>
      </x:c>
      <x:c r="C4" s="24" t="str">
        <x:v>Category</x:v>
      </x:c>
      <x:c r="D4" s="24" t="str">
        <x:v>Unit Price</x:v>
      </x:c>
      <x:c r="E4" s="24" t="str">
        <x:v>Unit Cost</x:v>
      </x:c>
    </x:row>
    <x:row r="5">
      <x:c r="A5" t="str">
        <x:v>P101</x:v>
      </x:c>
      <x:c r="B5" t="str">
        <x:v>Laptop</x:v>
      </x:c>
      <x:c r="C5" t="str">
        <x:v>Electronics</x:v>
      </x:c>
      <x:c r="D5" s="36" t="n">
        <x:v>55000</x:v>
      </x:c>
      <x:c r="E5" s="36" t="n">
        <x:v>47000</x:v>
      </x:c>
    </x:row>
    <x:row r="6">
      <x:c r="A6" t="str">
        <x:v>P102</x:v>
      </x:c>
      <x:c r="B6" t="str">
        <x:v>Mouse</x:v>
      </x:c>
      <x:c r="C6" t="str">
        <x:v>Accessories</x:v>
      </x:c>
      <x:c r="D6" s="36" t="n">
        <x:v>1200</x:v>
      </x:c>
      <x:c r="E6" s="36" t="n">
        <x:v>700</x:v>
      </x:c>
    </x:row>
    <x:row r="7">
      <x:c r="A7" t="str">
        <x:v>P103</x:v>
      </x:c>
      <x:c r="B7" t="str">
        <x:v>Keyboard</x:v>
      </x:c>
      <x:c r="C7" t="str">
        <x:v>Accessories</x:v>
      </x:c>
      <x:c r="D7" s="36" t="n">
        <x:v>2500</x:v>
      </x:c>
      <x:c r="E7" s="36" t="n">
        <x:v>1500</x:v>
      </x:c>
    </x:row>
    <x:row r="8">
      <x:c r="A8" t="str">
        <x:v>P104</x:v>
      </x:c>
      <x:c r="B8" t="str">
        <x:v>Monitor</x:v>
      </x:c>
      <x:c r="C8" t="str">
        <x:v>Electronics</x:v>
      </x:c>
      <x:c r="D8" s="36" t="n">
        <x:v>18000</x:v>
      </x:c>
      <x:c r="E8" s="36" t="n">
        <x:v>14500</x:v>
      </x:c>
    </x:row>
    <x:row r="9">
      <x:c r="A9" t="str">
        <x:v>P105</x:v>
      </x:c>
      <x:c r="B9" t="str">
        <x:v>Headphones</x:v>
      </x:c>
      <x:c r="C9" t="str">
        <x:v>Accessories</x:v>
      </x:c>
      <x:c r="D9" s="36" t="n">
        <x:v>3500</x:v>
      </x:c>
      <x:c r="E9" s="36" t="n">
        <x:v>2200</x:v>
      </x:c>
    </x:row>
    <x:row r="10">
      <x:c r="A10" t="str">
        <x:v>P106</x:v>
      </x:c>
      <x:c r="B10" t="str">
        <x:v>Printer</x:v>
      </x:c>
      <x:c r="C10" t="str">
        <x:v>Electronics</x:v>
      </x:c>
      <x:c r="D10" s="36" t="n">
        <x:v>12000</x:v>
      </x:c>
      <x:c r="E10" s="36" t="n">
        <x:v>9500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c4029dc53dd41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18" hidden="0" customWidth="1"/>
    <x:col min="5" max="5" width="14" hidden="0" customWidth="1"/>
    <x:col min="6" max="6" width="45" hidden="0" customWidth="1"/>
  </x:cols>
  <x:sheetData>
    <x:row r="1" ht="28" customHeight="1">
      <x:c r="A1" s="5" t="str">
        <x:v>Lookup Results</x:v>
      </x:c>
    </x:row>
    <x:row r="2" ht="24" customHeight="1">
      <x:c r="A2" s="18" t="str">
        <x:v>Compare lookup approaches on the same master data.</x:v>
      </x:c>
    </x:row>
    <x:row r="4">
      <x:c r="A4" s="24" t="str">
        <x:v>Product</x:v>
      </x:c>
      <x:c r="B4" s="24" t="str">
        <x:v>Category via VLOOKUP</x:v>
      </x:c>
      <x:c r="C4" s="24" t="str">
        <x:v>Price via INDEX+MATCH</x:v>
      </x:c>
      <x:c r="D4" s="24" t="str">
        <x:v>Cost via XLOOKUP</x:v>
      </x:c>
      <x:c r="E4" s="24" t="str">
        <x:v>Match Check</x:v>
      </x:c>
      <x:c r="F4" s="24" t="str">
        <x:v>Notes</x:v>
      </x:c>
    </x:row>
    <x:row r="5">
      <x:c r="A5" t="str">
        <x:f>Orders!B5</x:f>
        <x:v>Laptop</x:v>
      </x:c>
      <x:c r="B5" t="str">
        <x:f>VLOOKUP(A5,Product_Master!$B$5:$E$10,2,FALSE)</x:f>
        <x:v>Electronics</x:v>
      </x:c>
      <x:c r="C5" s="36" t="n">
        <x:f>INDEX(Product_Master!$D$5:$D$10,MATCH(A5,Product_Master!$B$5:$B$10,0))</x:f>
        <x:v>55000</x:v>
      </x:c>
      <x:c r="D5" s="36" t="n">
        <x:f>XLOOKUP(A5,Product_Master!$B$5:$B$10,Product_Master!$E$5:$E$10,"Not Found")</x:f>
        <x:v>47000</x:v>
      </x:c>
      <x:c r="E5" t="str">
        <x:f>IFERROR(IF(C5&gt;0,"Found","Check"),"Not Found")</x:f>
        <x:v>Found</x:v>
      </x:c>
      <x:c r="F5" t="str">
        <x:v>Try an unknown product name manually in A20 to observe the not-found behavior.</x:v>
      </x:c>
    </x:row>
    <x:row r="6">
      <x:c r="A6" t="str">
        <x:f>Orders!B6</x:f>
        <x:v>Mouse</x:v>
      </x:c>
      <x:c r="B6" t="str">
        <x:f>VLOOKUP(A6,Product_Master!$B$5:$E$10,2,FALSE)</x:f>
        <x:v>Accessories</x:v>
      </x:c>
      <x:c r="C6" s="36" t="n">
        <x:f>INDEX(Product_Master!$D$5:$D$10,MATCH(A6,Product_Master!$B$5:$B$10,0))</x:f>
        <x:v>1200</x:v>
      </x:c>
      <x:c r="D6" s="36" t="n">
        <x:f>XLOOKUP(A6,Product_Master!$B$5:$B$10,Product_Master!$E$5:$E$10,"Not Found")</x:f>
        <x:v>700</x:v>
      </x:c>
      <x:c r="E6" t="str">
        <x:f>IFERROR(IF(C6&gt;0,"Found","Check"),"Not Found")</x:f>
        <x:v>Found</x:v>
      </x:c>
    </x:row>
    <x:row r="7">
      <x:c r="A7" t="str">
        <x:f>Orders!B7</x:f>
        <x:v>Keyboard</x:v>
      </x:c>
      <x:c r="B7" t="str">
        <x:f>VLOOKUP(A7,Product_Master!$B$5:$E$10,2,FALSE)</x:f>
        <x:v>Accessories</x:v>
      </x:c>
      <x:c r="C7" s="36" t="n">
        <x:f>INDEX(Product_Master!$D$5:$D$10,MATCH(A7,Product_Master!$B$5:$B$10,0))</x:f>
        <x:v>2500</x:v>
      </x:c>
      <x:c r="D7" s="36" t="n">
        <x:f>XLOOKUP(A7,Product_Master!$B$5:$B$10,Product_Master!$E$5:$E$10,"Not Found")</x:f>
        <x:v>1500</x:v>
      </x:c>
      <x:c r="E7" t="str">
        <x:f>IFERROR(IF(C7&gt;0,"Found","Check"),"Not Found")</x:f>
        <x:v>Found</x:v>
      </x:c>
    </x:row>
    <x:row r="8">
      <x:c r="A8" t="str">
        <x:f>Orders!B8</x:f>
        <x:v>Laptop</x:v>
      </x:c>
      <x:c r="B8" t="str">
        <x:f>VLOOKUP(A8,Product_Master!$B$5:$E$10,2,FALSE)</x:f>
        <x:v>Electronics</x:v>
      </x:c>
      <x:c r="C8" s="36" t="n">
        <x:f>INDEX(Product_Master!$D$5:$D$10,MATCH(A8,Product_Master!$B$5:$B$10,0))</x:f>
        <x:v>55000</x:v>
      </x:c>
      <x:c r="D8" s="36" t="n">
        <x:f>XLOOKUP(A8,Product_Master!$B$5:$B$10,Product_Master!$E$5:$E$10,"Not Found")</x:f>
        <x:v>47000</x:v>
      </x:c>
      <x:c r="E8" t="str">
        <x:f>IFERROR(IF(C8&gt;0,"Found","Check"),"Not Found")</x:f>
        <x:v>Found</x:v>
      </x:c>
    </x:row>
    <x:row r="9">
      <x:c r="A9" t="str">
        <x:f>Orders!B9</x:f>
        <x:v>Monitor</x:v>
      </x:c>
      <x:c r="B9" t="str">
        <x:f>VLOOKUP(A9,Product_Master!$B$5:$E$10,2,FALSE)</x:f>
        <x:v>Electronics</x:v>
      </x:c>
      <x:c r="C9" s="36" t="n">
        <x:f>INDEX(Product_Master!$D$5:$D$10,MATCH(A9,Product_Master!$B$5:$B$10,0))</x:f>
        <x:v>18000</x:v>
      </x:c>
      <x:c r="D9" s="36" t="n">
        <x:f>XLOOKUP(A9,Product_Master!$B$5:$B$10,Product_Master!$E$5:$E$10,"Not Found")</x:f>
        <x:v>14500</x:v>
      </x:c>
      <x:c r="E9" t="str">
        <x:f>IFERROR(IF(C9&gt;0,"Found","Check"),"Not Found")</x:f>
        <x:v>Found</x:v>
      </x:c>
    </x:row>
    <x:row r="10">
      <x:c r="A10" t="str">
        <x:f>Orders!B10</x:f>
        <x:v>Mouse</x:v>
      </x:c>
      <x:c r="B10" t="str">
        <x:f>VLOOKUP(A10,Product_Master!$B$5:$E$10,2,FALSE)</x:f>
        <x:v>Accessories</x:v>
      </x:c>
      <x:c r="C10" s="36" t="n">
        <x:f>INDEX(Product_Master!$D$5:$D$10,MATCH(A10,Product_Master!$B$5:$B$10,0))</x:f>
        <x:v>1200</x:v>
      </x:c>
      <x:c r="D10" s="36" t="n">
        <x:f>XLOOKUP(A10,Product_Master!$B$5:$B$10,Product_Master!$E$5:$E$10,"Not Found")</x:f>
        <x:v>700</x:v>
      </x:c>
      <x:c r="E10" t="str">
        <x:f>IFERROR(IF(C10&gt;0,"Found","Check"),"Not Found")</x:f>
        <x:v>Found</x:v>
      </x:c>
    </x:row>
    <x:row r="11">
      <x:c r="A11" t="str">
        <x:f>Orders!B11</x:f>
        <x:v>Keyboard</x:v>
      </x:c>
      <x:c r="B11" t="str">
        <x:f>VLOOKUP(A11,Product_Master!$B$5:$E$10,2,FALSE)</x:f>
        <x:v>Accessories</x:v>
      </x:c>
      <x:c r="C11" s="36" t="n">
        <x:f>INDEX(Product_Master!$D$5:$D$10,MATCH(A11,Product_Master!$B$5:$B$10,0))</x:f>
        <x:v>2500</x:v>
      </x:c>
      <x:c r="D11" s="36" t="n">
        <x:f>XLOOKUP(A11,Product_Master!$B$5:$B$10,Product_Master!$E$5:$E$10,"Not Found")</x:f>
        <x:v>1500</x:v>
      </x:c>
      <x:c r="E11" t="str">
        <x:f>IFERROR(IF(C11&gt;0,"Found","Check"),"Not Found")</x:f>
        <x:v>Found</x:v>
      </x:c>
    </x:row>
    <x:row r="12">
      <x:c r="A12" t="str">
        <x:f>Orders!B12</x:f>
        <x:v>Laptop</x:v>
      </x:c>
      <x:c r="B12" t="str">
        <x:f>VLOOKUP(A12,Product_Master!$B$5:$E$10,2,FALSE)</x:f>
        <x:v>Electronics</x:v>
      </x:c>
      <x:c r="C12" s="36" t="n">
        <x:f>INDEX(Product_Master!$D$5:$D$10,MATCH(A12,Product_Master!$B$5:$B$10,0))</x:f>
        <x:v>55000</x:v>
      </x:c>
      <x:c r="D12" s="36" t="n">
        <x:f>XLOOKUP(A12,Product_Master!$B$5:$B$10,Product_Master!$E$5:$E$10,"Not Found")</x:f>
        <x:v>47000</x:v>
      </x:c>
      <x:c r="E12" t="str">
        <x:f>IFERROR(IF(C12&gt;0,"Found","Check"),"Not Found")</x:f>
        <x:v>Found</x:v>
      </x:c>
    </x:row>
    <x:row r="13">
      <x:c r="A13" t="str">
        <x:f>Orders!B13</x:f>
        <x:v>Laptop</x:v>
      </x:c>
      <x:c r="B13" t="str">
        <x:f>VLOOKUP(A13,Product_Master!$B$5:$E$10,2,FALSE)</x:f>
        <x:v>Electronics</x:v>
      </x:c>
      <x:c r="C13" s="36" t="n">
        <x:f>INDEX(Product_Master!$D$5:$D$10,MATCH(A13,Product_Master!$B$5:$B$10,0))</x:f>
        <x:v>55000</x:v>
      </x:c>
      <x:c r="D13" s="36" t="n">
        <x:f>XLOOKUP(A13,Product_Master!$B$5:$B$10,Product_Master!$E$5:$E$10,"Not Found")</x:f>
        <x:v>47000</x:v>
      </x:c>
      <x:c r="E13" t="str">
        <x:f>IFERROR(IF(C13&gt;0,"Found","Check"),"Not Found")</x:f>
        <x:v>Found</x:v>
      </x:c>
    </x:row>
    <x:row r="14">
      <x:c r="A14" t="str">
        <x:f>Orders!B14</x:f>
        <x:v>Mouse</x:v>
      </x:c>
      <x:c r="B14" t="str">
        <x:f>VLOOKUP(A14,Product_Master!$B$5:$E$10,2,FALSE)</x:f>
        <x:v>Accessories</x:v>
      </x:c>
      <x:c r="C14" s="36" t="n">
        <x:f>INDEX(Product_Master!$D$5:$D$10,MATCH(A14,Product_Master!$B$5:$B$10,0))</x:f>
        <x:v>1200</x:v>
      </x:c>
      <x:c r="D14" s="36" t="n">
        <x:f>XLOOKUP(A14,Product_Master!$B$5:$B$10,Product_Master!$E$5:$E$10,"Not Found")</x:f>
        <x:v>700</x:v>
      </x:c>
      <x:c r="E14" t="str">
        <x:f>IFERROR(IF(C14&gt;0,"Found","Check"),"Not Found")</x:f>
        <x:v>Found</x:v>
      </x:c>
    </x:row>
    <x:row r="15">
      <x:c r="A15" t="str">
        <x:f>Orders!B15</x:f>
        <x:v>Keyboard</x:v>
      </x:c>
      <x:c r="B15" t="str">
        <x:f>VLOOKUP(A15,Product_Master!$B$5:$E$10,2,FALSE)</x:f>
        <x:v>Accessories</x:v>
      </x:c>
      <x:c r="C15" s="36" t="n">
        <x:f>INDEX(Product_Master!$D$5:$D$10,MATCH(A15,Product_Master!$B$5:$B$10,0))</x:f>
        <x:v>2500</x:v>
      </x:c>
      <x:c r="D15" s="36" t="n">
        <x:f>XLOOKUP(A15,Product_Master!$B$5:$B$10,Product_Master!$E$5:$E$10,"Not Found")</x:f>
        <x:v>1500</x:v>
      </x:c>
      <x:c r="E15" t="str">
        <x:f>IFERROR(IF(C15&gt;0,"Found","Check"),"Not Found")</x:f>
        <x:v>Found</x:v>
      </x:c>
    </x:row>
    <x:row r="16">
      <x:c r="A16" t="str">
        <x:f>Orders!B16</x:f>
        <x:v>Monitor</x:v>
      </x:c>
      <x:c r="B16" t="str">
        <x:f>VLOOKUP(A16,Product_Master!$B$5:$E$10,2,FALSE)</x:f>
        <x:v>Electronics</x:v>
      </x:c>
      <x:c r="C16" s="36" t="n">
        <x:f>INDEX(Product_Master!$D$5:$D$10,MATCH(A16,Product_Master!$B$5:$B$10,0))</x:f>
        <x:v>18000</x:v>
      </x:c>
      <x:c r="D16" s="36" t="n">
        <x:f>XLOOKUP(A16,Product_Master!$B$5:$B$10,Product_Master!$E$5:$E$10,"Not Found")</x:f>
        <x:v>14500</x:v>
      </x:c>
      <x:c r="E16" t="str">
        <x:f>IFERROR(IF(C16&gt;0,"Found","Check"),"Not Found")</x:f>
        <x:v>Found</x:v>
      </x:c>
    </x:row>
    <x:row r="17">
      <x:c r="A17" t="str">
        <x:f>Orders!B17</x:f>
        <x:v>Headphones</x:v>
      </x:c>
      <x:c r="B17" t="str">
        <x:f>VLOOKUP(A17,Product_Master!$B$5:$E$10,2,FALSE)</x:f>
        <x:v>Accessories</x:v>
      </x:c>
      <x:c r="C17" s="36" t="n">
        <x:f>INDEX(Product_Master!$D$5:$D$10,MATCH(A17,Product_Master!$B$5:$B$10,0))</x:f>
        <x:v>3500</x:v>
      </x:c>
      <x:c r="D17" s="36" t="n">
        <x:f>XLOOKUP(A17,Product_Master!$B$5:$B$10,Product_Master!$E$5:$E$10,"Not Found")</x:f>
        <x:v>2200</x:v>
      </x:c>
      <x:c r="E17" t="str">
        <x:f>IFERROR(IF(C17&gt;0,"Found","Check"),"Not Found")</x:f>
        <x:v>Found</x:v>
      </x:c>
    </x:row>
    <x:row r="18">
      <x:c r="A18" t="str">
        <x:f>Orders!B18</x:f>
        <x:v>Printer</x:v>
      </x:c>
      <x:c r="B18" t="str">
        <x:f>VLOOKUP(A18,Product_Master!$B$5:$E$10,2,FALSE)</x:f>
        <x:v>Electronics</x:v>
      </x:c>
      <x:c r="C18" s="36" t="n">
        <x:f>INDEX(Product_Master!$D$5:$D$10,MATCH(A18,Product_Master!$B$5:$B$10,0))</x:f>
        <x:v>12000</x:v>
      </x:c>
      <x:c r="D18" s="36" t="n">
        <x:f>XLOOKUP(A18,Product_Master!$B$5:$B$10,Product_Master!$E$5:$E$10,"Not Found")</x:f>
        <x:v>9500</x:v>
      </x:c>
      <x:c r="E18" t="str">
        <x:f>IFERROR(IF(C18&gt;0,"Found","Check"),"Not Found")</x:f>
        <x:v>Found</x:v>
      </x:c>
    </x:row>
    <x:row r="19">
      <x:c r="A19" t="str">
        <x:f>Orders!B19</x:f>
        <x:v>Laptop</x:v>
      </x:c>
      <x:c r="B19" t="str">
        <x:f>VLOOKUP(A19,Product_Master!$B$5:$E$10,2,FALSE)</x:f>
        <x:v>Electronics</x:v>
      </x:c>
      <x:c r="C19" s="36" t="n">
        <x:f>INDEX(Product_Master!$D$5:$D$10,MATCH(A19,Product_Master!$B$5:$B$10,0))</x:f>
        <x:v>55000</x:v>
      </x:c>
      <x:c r="D19" s="36" t="n">
        <x:f>XLOOKUP(A19,Product_Master!$B$5:$B$10,Product_Master!$E$5:$E$10,"Not Found")</x:f>
        <x:v>47000</x:v>
      </x:c>
      <x:c r="E19" t="str">
        <x:f>IFERROR(IF(C19&gt;0,"Found","Check"),"Not Found")</x:f>
        <x:v>Found</x:v>
      </x:c>
    </x:row>
  </x:sheetData>
  <x:mergeCells>
    <x:mergeCell ref="A1:I1"/>
    <x:mergeCell ref="A2:I2"/>
  </x:mergeCells>
  <x:pageMargins left="0.7" right="0.7" top="0.75" bottom="0.75" header="0.3" footer="0.3"/>
</x:worksheet>
</file>