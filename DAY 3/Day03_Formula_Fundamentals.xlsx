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52aa18f5e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d432ca8e0894f8a"/>
    <x:sheet xmlns:r="http://schemas.openxmlformats.org/officeDocument/2006/relationships" name="Sales_Data" sheetId="2" r:id="R4bc0be866560443a"/>
    <x:sheet xmlns:r="http://schemas.openxmlformats.org/officeDocument/2006/relationships" name="Calculations" sheetId="3" r:id="Rfb02f4f93304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₹#,##0"/>
    <x:numFmt numFmtId="202" formatCode="0"/>
    <x:numFmt numFmtId="203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b824686674496" /><Relationship Type="http://schemas.openxmlformats.org/officeDocument/2006/relationships/theme" Target="/xl/theme/theme1.xml" Id="Rb9d4888a63e64ae3" /><Relationship Type="http://schemas.openxmlformats.org/officeDocument/2006/relationships/sharedStrings" Target="/xl/sharedStrings.xml" Id="R917daa76e1b6443f" /><Relationship Type="http://schemas.openxmlformats.org/officeDocument/2006/relationships/worksheet" Target="/xl/worksheets/sheet1.xml" Id="R3d432ca8e0894f8a" /><Relationship Type="http://schemas.openxmlformats.org/officeDocument/2006/relationships/worksheet" Target="/xl/worksheets/sheet2.xml" Id="R4bc0be866560443a" /><Relationship Type="http://schemas.openxmlformats.org/officeDocument/2006/relationships/worksheet" Target="/xl/worksheets/sheet3.xml" Id="Rfb02f4f933044c28" /></Relationships>
</file>

<file path=xl/tables/table1.xml><?xml version="1.0" encoding="utf-8"?>
<x:table xmlns:x="http://schemas.openxmlformats.org/spreadsheetml/2006/main" id="1" name="SalesDataTable" displayName="SalesDataTable" ref="A4:L44" headerRowCount="1" totalsRowCount="0" totalsRowShown="0">
  <x:tableColumns count="12">
    <x:tableColumn id="1" name="Order ID"/>
    <x:tableColumn id="2" name="Date"/>
    <x:tableColumn id="3" name="Region"/>
    <x:tableColumn id="4" name="Category"/>
    <x:tableColumn id="5" name="Product"/>
    <x:tableColumn id="6" name="Quantity"/>
    <x:tableColumn id="7" name="Unit Price"/>
    <x:tableColumn id="8" name="Cost"/>
    <x:tableColumn id="9" name="Revenue"/>
    <x:tableColumn id="10" name="Status"/>
    <x:tableColumn id="11" name="Salesperson"/>
    <x:tableColumn id="12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b960ba35d04ec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3 — Formula Fundamentals</x:v>
      </x:c>
    </x:row>
    <x:row r="2" ht="24" customHeight="1">
      <x:c r="A2" s="18" t="str">
        <x:v>14-day Excel Data Analytics GitHub repository | Day 3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Practice SUM, AVERAGE, MIN, MAX, COUNT, COUNTA, ROUND, ABS and business metrics.</x:v>
      </x:c>
    </x:row>
    <x:row r="6">
      <x:c r="A6" s="34" t="str">
        <x:v>Concepts</x:v>
      </x:c>
      <x:c r="B6" s="32" t="str">
        <x:v>Operators, formula syntax, order of operations, business metrics.</x:v>
      </x:c>
    </x:row>
    <x:row r="7">
      <x:c r="A7" s="34" t="str">
        <x:v>Practice Tasks</x:v>
      </x:c>
      <x:c r="B7" s="32" t="str">
        <x:v>1) Add Revenue, Profit and Margin %. 2) Use basic functions for KPI summary. 3) Round margin to 2 decimals.</x:v>
      </x:c>
    </x:row>
    <x:row r="8">
      <x:c r="A8" s="34" t="str">
        <x:v>Source Alignment</x:v>
      </x:c>
      <x:c r="B8" s="32" t="str">
        <x:v>Based on the user-provided Unit1&amp;2.pdf, pages 8–9 (formula fundamentals and essential functions).</x:v>
      </x:c>
    </x:row>
    <x:row r="9">
      <x:c r="A9" s="34" t="str">
        <x:v>GitHub Commit Suggestion</x:v>
      </x:c>
      <x:c r="B9" s="32" t="str">
        <x:v>Day 3: Formula Fundamentals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Sales Practice Dataset</x:v>
      </x:c>
    </x:row>
    <x:row r="2" ht="24" customHeight="1">
      <x:c r="A2" s="18" t="str">
        <x:v>Extended practice data using the same fields and logic as the PDF case study.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s="40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s="40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s="40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s="40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s="40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s="4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s="40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s="40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s="40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s="40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s="40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s="40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s="40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s="40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s="40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s="4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s="40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s="40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s="40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s="40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</x:row>
    <x:row r="25">
      <x:c r="A25" t="str">
        <x:v>O021</x:v>
      </x:c>
      <x:c r="B25" s="36" t="n">
        <x:v>46182</x:v>
      </x:c>
      <x:c r="C25" t="str">
        <x:v>North</x:v>
      </x:c>
      <x:c r="D25" t="str">
        <x:v>Electronics</x:v>
      </x:c>
      <x:c r="E25" t="str">
        <x:v>Laptop</x:v>
      </x:c>
      <x:c r="F25" s="40" t="n">
        <x:v>1</x:v>
      </x:c>
      <x:c r="G25" s="38" t="n">
        <x:v>55000</x:v>
      </x:c>
      <x:c r="H25" s="38" t="n">
        <x:v>47000</x:v>
      </x:c>
      <x:c r="I25" s="38" t="n">
        <x:v>55000</x:v>
      </x:c>
      <x:c r="J25" t="str">
        <x:v>Completed</x:v>
      </x:c>
      <x:c r="K25" t="str">
        <x:v>Aman</x:v>
      </x:c>
      <x:c r="L25" s="38" t="n">
        <x:v>8000</x:v>
      </x:c>
    </x:row>
    <x:row r="26">
      <x:c r="A26" t="str">
        <x:v>O022</x:v>
      </x:c>
      <x:c r="B26" s="36" t="n">
        <x:v>46187</x:v>
      </x:c>
      <x:c r="C26" t="str">
        <x:v>South</x:v>
      </x:c>
      <x:c r="D26" t="str">
        <x:v>Accessories</x:v>
      </x:c>
      <x:c r="E26" t="str">
        <x:v>Mouse</x:v>
      </x:c>
      <x:c r="F26" s="40" t="n">
        <x:v>2</x:v>
      </x:c>
      <x:c r="G26" s="38" t="n">
        <x:v>1200</x:v>
      </x:c>
      <x:c r="H26" s="38" t="n">
        <x:v>1400</x:v>
      </x:c>
      <x:c r="I26" s="38" t="n">
        <x:v>2400</x:v>
      </x:c>
      <x:c r="J26" t="str">
        <x:v>Pending</x:v>
      </x:c>
      <x:c r="K26" t="str">
        <x:v>Riya</x:v>
      </x:c>
      <x:c r="L26" s="38" t="n">
        <x:v>1000</x:v>
      </x:c>
    </x:row>
    <x:row r="27">
      <x:c r="A27" t="str">
        <x:v>O023</x:v>
      </x:c>
      <x:c r="B27" s="36" t="n">
        <x:v>46192</x:v>
      </x:c>
      <x:c r="C27" t="str">
        <x:v>East</x:v>
      </x:c>
      <x:c r="D27" t="str">
        <x:v>Accessories</x:v>
      </x:c>
      <x:c r="E27" t="str">
        <x:v>Keyboard</x:v>
      </x:c>
      <x:c r="F27" s="40" t="n">
        <x:v>3</x:v>
      </x:c>
      <x:c r="G27" s="38" t="n">
        <x:v>2500</x:v>
      </x:c>
      <x:c r="H27" s="38" t="n">
        <x:v>4500</x:v>
      </x:c>
      <x:c r="I27" s="38" t="n">
        <x:v>7500</x:v>
      </x:c>
      <x:c r="J27" t="str">
        <x:v>Cancelled</x:v>
      </x:c>
      <x:c r="K27" t="str">
        <x:v>Rahul</x:v>
      </x:c>
      <x:c r="L27" s="38" t="n">
        <x:v>3000</x:v>
      </x:c>
    </x:row>
    <x:row r="28">
      <x:c r="A28" t="str">
        <x:v>O024</x:v>
      </x:c>
      <x:c r="B28" s="36" t="n">
        <x:v>46197</x:v>
      </x:c>
      <x:c r="C28" t="str">
        <x:v>West</x:v>
      </x:c>
      <x:c r="D28" t="str">
        <x:v>Electronics</x:v>
      </x:c>
      <x:c r="E28" t="str">
        <x:v>Monitor</x:v>
      </x:c>
      <x:c r="F28" s="40" t="n">
        <x:v>4</x:v>
      </x:c>
      <x:c r="G28" s="38" t="n">
        <x:v>18000</x:v>
      </x:c>
      <x:c r="H28" s="38" t="n">
        <x:v>58000</x:v>
      </x:c>
      <x:c r="I28" s="38" t="n">
        <x:v>72000</x:v>
      </x:c>
      <x:c r="J28" t="str">
        <x:v>Completed</x:v>
      </x:c>
      <x:c r="K28" t="str">
        <x:v>Neha</x:v>
      </x:c>
      <x:c r="L28" s="38" t="n">
        <x:v>14000</x:v>
      </x:c>
    </x:row>
    <x:row r="29">
      <x:c r="A29" t="str">
        <x:v>O025</x:v>
      </x:c>
      <x:c r="B29" s="36" t="n">
        <x:v>46202</x:v>
      </x:c>
      <x:c r="C29" t="str">
        <x:v>North</x:v>
      </x:c>
      <x:c r="D29" t="str">
        <x:v>Accessories</x:v>
      </x:c>
      <x:c r="E29" t="str">
        <x:v>Headphones</x:v>
      </x:c>
      <x:c r="F29" s="40" t="n">
        <x:v>5</x:v>
      </x:c>
      <x:c r="G29" s="38" t="n">
        <x:v>3500</x:v>
      </x:c>
      <x:c r="H29" s="38" t="n">
        <x:v>11000</x:v>
      </x:c>
      <x:c r="I29" s="38" t="n">
        <x:v>17500</x:v>
      </x:c>
      <x:c r="J29" t="str">
        <x:v>Pending</x:v>
      </x:c>
      <x:c r="K29" t="str">
        <x:v>Aman</x:v>
      </x:c>
      <x:c r="L29" s="38" t="n">
        <x:v>6500</x:v>
      </x:c>
    </x:row>
    <x:row r="30">
      <x:c r="A30" t="str">
        <x:v>O026</x:v>
      </x:c>
      <x:c r="B30" s="36" t="n">
        <x:v>46207</x:v>
      </x:c>
      <x:c r="C30" t="str">
        <x:v>South</x:v>
      </x:c>
      <x:c r="D30" t="str">
        <x:v>Electronics</x:v>
      </x:c>
      <x:c r="E30" t="str">
        <x:v>Printer</x:v>
      </x:c>
      <x:c r="F30" s="40" t="n">
        <x:v>6</x:v>
      </x:c>
      <x:c r="G30" s="38" t="n">
        <x:v>12000</x:v>
      </x:c>
      <x:c r="H30" s="38" t="n">
        <x:v>57000</x:v>
      </x:c>
      <x:c r="I30" s="38" t="n">
        <x:v>72000</x:v>
      </x:c>
      <x:c r="J30" t="str">
        <x:v>Cancelled</x:v>
      </x:c>
      <x:c r="K30" t="str">
        <x:v>Riya</x:v>
      </x:c>
      <x:c r="L30" s="38" t="n">
        <x:v>15000</x:v>
      </x:c>
    </x:row>
    <x:row r="31">
      <x:c r="A31" t="str">
        <x:v>O027</x:v>
      </x:c>
      <x:c r="B31" s="36" t="n">
        <x:v>46212</x:v>
      </x:c>
      <x:c r="C31" t="str">
        <x:v>East</x:v>
      </x:c>
      <x:c r="D31" t="str">
        <x:v>Electronics</x:v>
      </x:c>
      <x:c r="E31" t="str">
        <x:v>Laptop</x:v>
      </x:c>
      <x:c r="F31" s="40" t="n">
        <x:v>1</x:v>
      </x:c>
      <x:c r="G31" s="38" t="n">
        <x:v>55000</x:v>
      </x:c>
      <x:c r="H31" s="38" t="n">
        <x:v>47000</x:v>
      </x:c>
      <x:c r="I31" s="38" t="n">
        <x:v>55000</x:v>
      </x:c>
      <x:c r="J31" t="str">
        <x:v>Completed</x:v>
      </x:c>
      <x:c r="K31" t="str">
        <x:v>Rahul</x:v>
      </x:c>
      <x:c r="L31" s="38" t="n">
        <x:v>8000</x:v>
      </x:c>
    </x:row>
    <x:row r="32">
      <x:c r="A32" t="str">
        <x:v>O028</x:v>
      </x:c>
      <x:c r="B32" s="36" t="n">
        <x:v>46217</x:v>
      </x:c>
      <x:c r="C32" t="str">
        <x:v>West</x:v>
      </x:c>
      <x:c r="D32" t="str">
        <x:v>Accessories</x:v>
      </x:c>
      <x:c r="E32" t="str">
        <x:v>Mouse</x:v>
      </x:c>
      <x:c r="F32" s="40" t="n">
        <x:v>2</x:v>
      </x:c>
      <x:c r="G32" s="38" t="n">
        <x:v>1200</x:v>
      </x:c>
      <x:c r="H32" s="38" t="n">
        <x:v>1400</x:v>
      </x:c>
      <x:c r="I32" s="38" t="n">
        <x:v>2400</x:v>
      </x:c>
      <x:c r="J32" t="str">
        <x:v>Pending</x:v>
      </x:c>
      <x:c r="K32" t="str">
        <x:v>Neha</x:v>
      </x:c>
      <x:c r="L32" s="38" t="n">
        <x:v>1000</x:v>
      </x:c>
    </x:row>
    <x:row r="33">
      <x:c r="A33" t="str">
        <x:v>O029</x:v>
      </x:c>
      <x:c r="B33" s="36" t="n">
        <x:v>46222</x:v>
      </x:c>
      <x:c r="C33" t="str">
        <x:v>North</x:v>
      </x:c>
      <x:c r="D33" t="str">
        <x:v>Accessories</x:v>
      </x:c>
      <x:c r="E33" t="str">
        <x:v>Keyboard</x:v>
      </x:c>
      <x:c r="F33" s="40" t="n">
        <x:v>3</x:v>
      </x:c>
      <x:c r="G33" s="38" t="n">
        <x:v>2500</x:v>
      </x:c>
      <x:c r="H33" s="38" t="n">
        <x:v>4500</x:v>
      </x:c>
      <x:c r="I33" s="38" t="n">
        <x:v>7500</x:v>
      </x:c>
      <x:c r="J33" t="str">
        <x:v>Cancelled</x:v>
      </x:c>
      <x:c r="K33" t="str">
        <x:v>Aman</x:v>
      </x:c>
      <x:c r="L33" s="38" t="n">
        <x:v>3000</x:v>
      </x:c>
    </x:row>
    <x:row r="34">
      <x:c r="A34" t="str">
        <x:v>O030</x:v>
      </x:c>
      <x:c r="B34" s="36" t="n">
        <x:v>46227</x:v>
      </x:c>
      <x:c r="C34" t="str">
        <x:v>South</x:v>
      </x:c>
      <x:c r="D34" t="str">
        <x:v>Electronics</x:v>
      </x:c>
      <x:c r="E34" t="str">
        <x:v>Monitor</x:v>
      </x:c>
      <x:c r="F34" s="40" t="n">
        <x:v>4</x:v>
      </x:c>
      <x:c r="G34" s="38" t="n">
        <x:v>18000</x:v>
      </x:c>
      <x:c r="H34" s="38" t="n">
        <x:v>58000</x:v>
      </x:c>
      <x:c r="I34" s="38" t="n">
        <x:v>72000</x:v>
      </x:c>
      <x:c r="J34" t="str">
        <x:v>Completed</x:v>
      </x:c>
      <x:c r="K34" t="str">
        <x:v>Riya</x:v>
      </x:c>
      <x:c r="L34" s="38" t="n">
        <x:v>14000</x:v>
      </x:c>
    </x:row>
    <x:row r="35">
      <x:c r="A35" t="str">
        <x:v>O031</x:v>
      </x:c>
      <x:c r="B35" s="36" t="n">
        <x:v>46232</x:v>
      </x:c>
      <x:c r="C35" t="str">
        <x:v>East</x:v>
      </x:c>
      <x:c r="D35" t="str">
        <x:v>Accessories</x:v>
      </x:c>
      <x:c r="E35" t="str">
        <x:v>Headphones</x:v>
      </x:c>
      <x:c r="F35" s="40" t="n">
        <x:v>5</x:v>
      </x:c>
      <x:c r="G35" s="38" t="n">
        <x:v>3500</x:v>
      </x:c>
      <x:c r="H35" s="38" t="n">
        <x:v>11000</x:v>
      </x:c>
      <x:c r="I35" s="38" t="n">
        <x:v>17500</x:v>
      </x:c>
      <x:c r="J35" t="str">
        <x:v>Pending</x:v>
      </x:c>
      <x:c r="K35" t="str">
        <x:v>Rahul</x:v>
      </x:c>
      <x:c r="L35" s="38" t="n">
        <x:v>6500</x:v>
      </x:c>
    </x:row>
    <x:row r="36">
      <x:c r="A36" t="str">
        <x:v>O032</x:v>
      </x:c>
      <x:c r="B36" s="36" t="n">
        <x:v>46237</x:v>
      </x:c>
      <x:c r="C36" t="str">
        <x:v>West</x:v>
      </x:c>
      <x:c r="D36" t="str">
        <x:v>Electronics</x:v>
      </x:c>
      <x:c r="E36" t="str">
        <x:v>Printer</x:v>
      </x:c>
      <x:c r="F36" s="40" t="n">
        <x:v>6</x:v>
      </x:c>
      <x:c r="G36" s="38" t="n">
        <x:v>12000</x:v>
      </x:c>
      <x:c r="H36" s="38" t="n">
        <x:v>57000</x:v>
      </x:c>
      <x:c r="I36" s="38" t="n">
        <x:v>72000</x:v>
      </x:c>
      <x:c r="J36" t="str">
        <x:v>Cancelled</x:v>
      </x:c>
      <x:c r="K36" t="str">
        <x:v>Neha</x:v>
      </x:c>
      <x:c r="L36" s="38" t="n">
        <x:v>15000</x:v>
      </x:c>
    </x:row>
    <x:row r="37">
      <x:c r="A37" t="str">
        <x:v>O033</x:v>
      </x:c>
      <x:c r="B37" s="36" t="n">
        <x:v>46242</x:v>
      </x:c>
      <x:c r="C37" t="str">
        <x:v>North</x:v>
      </x:c>
      <x:c r="D37" t="str">
        <x:v>Electronics</x:v>
      </x:c>
      <x:c r="E37" t="str">
        <x:v>Laptop</x:v>
      </x:c>
      <x:c r="F37" s="40" t="n">
        <x:v>1</x:v>
      </x:c>
      <x:c r="G37" s="38" t="n">
        <x:v>55000</x:v>
      </x:c>
      <x:c r="H37" s="38" t="n">
        <x:v>47000</x:v>
      </x:c>
      <x:c r="I37" s="38" t="n">
        <x:v>55000</x:v>
      </x:c>
      <x:c r="J37" t="str">
        <x:v>Completed</x:v>
      </x:c>
      <x:c r="K37" t="str">
        <x:v>Aman</x:v>
      </x:c>
      <x:c r="L37" s="38" t="n">
        <x:v>8000</x:v>
      </x:c>
    </x:row>
    <x:row r="38">
      <x:c r="A38" t="str">
        <x:v>O034</x:v>
      </x:c>
      <x:c r="B38" s="36" t="n">
        <x:v>46247</x:v>
      </x:c>
      <x:c r="C38" t="str">
        <x:v>South</x:v>
      </x:c>
      <x:c r="D38" t="str">
        <x:v>Accessories</x:v>
      </x:c>
      <x:c r="E38" t="str">
        <x:v>Mouse</x:v>
      </x:c>
      <x:c r="F38" s="40" t="n">
        <x:v>2</x:v>
      </x:c>
      <x:c r="G38" s="38" t="n">
        <x:v>1200</x:v>
      </x:c>
      <x:c r="H38" s="38" t="n">
        <x:v>1400</x:v>
      </x:c>
      <x:c r="I38" s="38" t="n">
        <x:v>2400</x:v>
      </x:c>
      <x:c r="J38" t="str">
        <x:v>Pending</x:v>
      </x:c>
      <x:c r="K38" t="str">
        <x:v>Riya</x:v>
      </x:c>
      <x:c r="L38" s="38" t="n">
        <x:v>1000</x:v>
      </x:c>
    </x:row>
    <x:row r="39">
      <x:c r="A39" t="str">
        <x:v>O035</x:v>
      </x:c>
      <x:c r="B39" s="36" t="n">
        <x:v>46252</x:v>
      </x:c>
      <x:c r="C39" t="str">
        <x:v>East</x:v>
      </x:c>
      <x:c r="D39" t="str">
        <x:v>Accessories</x:v>
      </x:c>
      <x:c r="E39" t="str">
        <x:v>Keyboard</x:v>
      </x:c>
      <x:c r="F39" s="40" t="n">
        <x:v>3</x:v>
      </x:c>
      <x:c r="G39" s="38" t="n">
        <x:v>2500</x:v>
      </x:c>
      <x:c r="H39" s="38" t="n">
        <x:v>4500</x:v>
      </x:c>
      <x:c r="I39" s="38" t="n">
        <x:v>7500</x:v>
      </x:c>
      <x:c r="J39" t="str">
        <x:v>Cancelled</x:v>
      </x:c>
      <x:c r="K39" t="str">
        <x:v>Rahul</x:v>
      </x:c>
      <x:c r="L39" s="38" t="n">
        <x:v>3000</x:v>
      </x:c>
    </x:row>
    <x:row r="40">
      <x:c r="A40" t="str">
        <x:v>O036</x:v>
      </x:c>
      <x:c r="B40" s="36" t="n">
        <x:v>46257</x:v>
      </x:c>
      <x:c r="C40" t="str">
        <x:v>West</x:v>
      </x:c>
      <x:c r="D40" t="str">
        <x:v>Electronics</x:v>
      </x:c>
      <x:c r="E40" t="str">
        <x:v>Monitor</x:v>
      </x:c>
      <x:c r="F40" s="40" t="n">
        <x:v>4</x:v>
      </x:c>
      <x:c r="G40" s="38" t="n">
        <x:v>18000</x:v>
      </x:c>
      <x:c r="H40" s="38" t="n">
        <x:v>58000</x:v>
      </x:c>
      <x:c r="I40" s="38" t="n">
        <x:v>72000</x:v>
      </x:c>
      <x:c r="J40" t="str">
        <x:v>Completed</x:v>
      </x:c>
      <x:c r="K40" t="str">
        <x:v>Neha</x:v>
      </x:c>
      <x:c r="L40" s="38" t="n">
        <x:v>14000</x:v>
      </x:c>
    </x:row>
    <x:row r="41">
      <x:c r="A41" t="str">
        <x:v>O037</x:v>
      </x:c>
      <x:c r="B41" s="36" t="n">
        <x:v>46262</x:v>
      </x:c>
      <x:c r="C41" t="str">
        <x:v>North</x:v>
      </x:c>
      <x:c r="D41" t="str">
        <x:v>Accessories</x:v>
      </x:c>
      <x:c r="E41" t="str">
        <x:v>Headphones</x:v>
      </x:c>
      <x:c r="F41" s="40" t="n">
        <x:v>5</x:v>
      </x:c>
      <x:c r="G41" s="38" t="n">
        <x:v>3500</x:v>
      </x:c>
      <x:c r="H41" s="38" t="n">
        <x:v>11000</x:v>
      </x:c>
      <x:c r="I41" s="38" t="n">
        <x:v>17500</x:v>
      </x:c>
      <x:c r="J41" t="str">
        <x:v>Pending</x:v>
      </x:c>
      <x:c r="K41" t="str">
        <x:v>Aman</x:v>
      </x:c>
      <x:c r="L41" s="38" t="n">
        <x:v>6500</x:v>
      </x:c>
    </x:row>
    <x:row r="42">
      <x:c r="A42" t="str">
        <x:v>O038</x:v>
      </x:c>
      <x:c r="B42" s="36" t="n">
        <x:v>46267</x:v>
      </x:c>
      <x:c r="C42" t="str">
        <x:v>South</x:v>
      </x:c>
      <x:c r="D42" t="str">
        <x:v>Electronics</x:v>
      </x:c>
      <x:c r="E42" t="str">
        <x:v>Printer</x:v>
      </x:c>
      <x:c r="F42" s="40" t="n">
        <x:v>6</x:v>
      </x:c>
      <x:c r="G42" s="38" t="n">
        <x:v>12000</x:v>
      </x:c>
      <x:c r="H42" s="38" t="n">
        <x:v>57000</x:v>
      </x:c>
      <x:c r="I42" s="38" t="n">
        <x:v>72000</x:v>
      </x:c>
      <x:c r="J42" t="str">
        <x:v>Cancelled</x:v>
      </x:c>
      <x:c r="K42" t="str">
        <x:v>Riya</x:v>
      </x:c>
      <x:c r="L42" s="38" t="n">
        <x:v>15000</x:v>
      </x:c>
    </x:row>
    <x:row r="43">
      <x:c r="A43" t="str">
        <x:v>O039</x:v>
      </x:c>
      <x:c r="B43" s="36" t="n">
        <x:v>46272</x:v>
      </x:c>
      <x:c r="C43" t="str">
        <x:v>East</x:v>
      </x:c>
      <x:c r="D43" t="str">
        <x:v>Electronics</x:v>
      </x:c>
      <x:c r="E43" t="str">
        <x:v>Laptop</x:v>
      </x:c>
      <x:c r="F43" s="40" t="n">
        <x:v>1</x:v>
      </x:c>
      <x:c r="G43" s="38" t="n">
        <x:v>55000</x:v>
      </x:c>
      <x:c r="H43" s="38" t="n">
        <x:v>47000</x:v>
      </x:c>
      <x:c r="I43" s="38" t="n">
        <x:v>55000</x:v>
      </x:c>
      <x:c r="J43" t="str">
        <x:v>Completed</x:v>
      </x:c>
      <x:c r="K43" t="str">
        <x:v>Rahul</x:v>
      </x:c>
      <x:c r="L43" s="38" t="n">
        <x:v>8000</x:v>
      </x:c>
    </x:row>
    <x:row r="44">
      <x:c r="A44" t="str">
        <x:v>O040</x:v>
      </x:c>
      <x:c r="B44" s="36" t="n">
        <x:v>46277</x:v>
      </x:c>
      <x:c r="C44" t="str">
        <x:v>West</x:v>
      </x:c>
      <x:c r="D44" t="str">
        <x:v>Accessories</x:v>
      </x:c>
      <x:c r="E44" t="str">
        <x:v>Mouse</x:v>
      </x:c>
      <x:c r="F44" s="40" t="n">
        <x:v>2</x:v>
      </x:c>
      <x:c r="G44" s="38" t="n">
        <x:v>1200</x:v>
      </x:c>
      <x:c r="H44" s="38" t="n">
        <x:v>1400</x:v>
      </x:c>
      <x:c r="I44" s="38" t="n">
        <x:v>2400</x:v>
      </x:c>
      <x:c r="J44" t="str">
        <x:v>Pending</x:v>
      </x:c>
      <x:c r="K44" t="str">
        <x:v>Neha</x:v>
      </x:c>
      <x:c r="L44" s="38" t="n">
        <x:v>1000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9b960ba35d04e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2" hidden="0" customWidth="1"/>
    <x:col min="6" max="6" width="22" hidden="0" customWidth="1"/>
    <x:col min="7" max="7" width="18" hidden="0" customWidth="1"/>
  </x:cols>
  <x:sheetData>
    <x:row r="1" ht="28" customHeight="1">
      <x:c r="A1" s="5" t="str">
        <x:v>Day 3 Formula Lab</x:v>
      </x:c>
    </x:row>
    <x:row r="2" ht="24" customHeight="1">
      <x:c r="A2" s="18" t="str">
        <x:v>Formula-driven calculations with readable business metrics.</x:v>
      </x:c>
    </x:row>
    <x:row r="4">
      <x:c r="A4" s="24" t="str">
        <x:v>Order ID</x:v>
      </x:c>
      <x:c r="B4" s="24" t="str">
        <x:v>Revenue</x:v>
      </x:c>
      <x:c r="C4" s="24" t="str">
        <x:v>Profit</x:v>
      </x:c>
      <x:c r="D4" s="24" t="str">
        <x:v>Margin %</x:v>
      </x:c>
      <x:c r="F4" s="24" t="str">
        <x:v>Metric</x:v>
      </x:c>
      <x:c r="G4" s="24" t="str">
        <x:v>Formula Result</x:v>
      </x:c>
    </x:row>
    <x:row r="5">
      <x:c r="A5" t="str">
        <x:f>Sales_Data!A5</x:f>
        <x:v>O101</x:v>
      </x:c>
      <x:c r="B5" s="38" t="n">
        <x:f>Sales_Data!I5</x:f>
        <x:v>110000</x:v>
      </x:c>
      <x:c r="C5" s="38" t="n">
        <x:f>Sales_Data!L5</x:f>
        <x:v>16000</x:v>
      </x:c>
      <x:c r="D5" s="42" t="n">
        <x:f>IFERROR(C5/B5,0)</x:f>
        <x:v>0.14545454545454545</x:v>
      </x:c>
      <x:c r="F5" t="str">
        <x:v>SUM Revenue</x:v>
      </x:c>
      <x:c r="G5" s="38" t="n">
        <x:f>SUM(B5:B44)</x:f>
        <x:v>1535900</x:v>
      </x:c>
    </x:row>
    <x:row r="6">
      <x:c r="A6" t="str">
        <x:f>Sales_Data!A6</x:f>
        <x:v>O102</x:v>
      </x:c>
      <x:c r="B6" s="38" t="n">
        <x:f>Sales_Data!I6</x:f>
        <x:v>6000</x:v>
      </x:c>
      <x:c r="C6" s="38" t="n">
        <x:f>Sales_Data!L6</x:f>
        <x:v>2500</x:v>
      </x:c>
      <x:c r="D6" s="42" t="n">
        <x:f>IFERROR(C6/B6,0)</x:f>
        <x:v>0.4166666666666667</x:v>
      </x:c>
      <x:c r="F6" t="str">
        <x:v>AVERAGE Revenue</x:v>
      </x:c>
      <x:c r="G6" s="38" t="n">
        <x:f>AVERAGE(B5:B44)</x:f>
        <x:v>38397.5</x:v>
      </x:c>
    </x:row>
    <x:row r="7">
      <x:c r="A7" t="str">
        <x:f>Sales_Data!A7</x:f>
        <x:v>O103</x:v>
      </x:c>
      <x:c r="B7" s="38" t="n">
        <x:f>Sales_Data!I7</x:f>
        <x:v>7500</x:v>
      </x:c>
      <x:c r="C7" s="38" t="n">
        <x:f>Sales_Data!L7</x:f>
        <x:v>3000</x:v>
      </x:c>
      <x:c r="D7" s="42" t="n">
        <x:f>IFERROR(C7/B7,0)</x:f>
        <x:v>0.4</x:v>
      </x:c>
      <x:c r="F7" t="str">
        <x:v>MIN Revenue</x:v>
      </x:c>
      <x:c r="G7" s="38" t="n">
        <x:f>MIN(B5:B44)</x:f>
        <x:v>2400</x:v>
      </x:c>
    </x:row>
    <x:row r="8">
      <x:c r="A8" t="str">
        <x:f>Sales_Data!A8</x:f>
        <x:v>O104</x:v>
      </x:c>
      <x:c r="B8" s="38" t="n">
        <x:f>Sales_Data!I8</x:f>
        <x:v>55000</x:v>
      </x:c>
      <x:c r="C8" s="38" t="n">
        <x:f>Sales_Data!L8</x:f>
        <x:v>8000</x:v>
      </x:c>
      <x:c r="D8" s="42" t="n">
        <x:f>IFERROR(C8/B8,0)</x:f>
        <x:v>0.14545454545454545</x:v>
      </x:c>
      <x:c r="F8" t="str">
        <x:v>MAX Revenue</x:v>
      </x:c>
      <x:c r="G8" s="38" t="n">
        <x:f>MAX(B5:B44)</x:f>
        <x:v>110000</x:v>
      </x:c>
    </x:row>
    <x:row r="9">
      <x:c r="A9" t="str">
        <x:f>Sales_Data!A9</x:f>
        <x:v>O105</x:v>
      </x:c>
      <x:c r="B9" s="38" t="n">
        <x:f>Sales_Data!I9</x:f>
        <x:v>36000</x:v>
      </x:c>
      <x:c r="C9" s="38" t="n">
        <x:f>Sales_Data!L9</x:f>
        <x:v>7000</x:v>
      </x:c>
      <x:c r="D9" s="42" t="n">
        <x:f>IFERROR(C9/B9,0)</x:f>
        <x:v>0.19444444444444445</x:v>
      </x:c>
      <x:c r="F9" t="str">
        <x:v>COUNT Revenue</x:v>
      </x:c>
      <x:c r="G9" t="n">
        <x:f>COUNT(B5:B44)</x:f>
        <x:v>40</x:v>
      </x:c>
    </x:row>
    <x:row r="10">
      <x:c r="A10" t="str">
        <x:f>Sales_Data!A10</x:f>
        <x:v>O106</x:v>
      </x:c>
      <x:c r="B10" s="38" t="n">
        <x:f>Sales_Data!I10</x:f>
        <x:v>12000</x:v>
      </x:c>
      <x:c r="C10" s="38" t="n">
        <x:f>Sales_Data!L10</x:f>
        <x:v>5000</x:v>
      </x:c>
      <x:c r="D10" s="42" t="n">
        <x:f>IFERROR(C10/B10,0)</x:f>
        <x:v>0.4166666666666667</x:v>
      </x:c>
      <x:c r="F10" t="str">
        <x:v>AVERAGE Margin</x:v>
      </x:c>
      <x:c r="G10" s="42" t="n">
        <x:f>AVERAGE(D5:D44)</x:f>
        <x:v>0.2876975108225108</x:v>
      </x:c>
    </x:row>
    <x:row r="11">
      <x:c r="A11" t="str">
        <x:f>Sales_Data!A11</x:f>
        <x:v>O107</x:v>
      </x:c>
      <x:c r="B11" s="38" t="n">
        <x:f>Sales_Data!I11</x:f>
        <x:v>10000</x:v>
      </x:c>
      <x:c r="C11" s="38" t="n">
        <x:f>Sales_Data!L11</x:f>
        <x:v>4000</x:v>
      </x:c>
      <x:c r="D11" s="42" t="n">
        <x:f>IFERROR(C11/B11,0)</x:f>
        <x:v>0.4</x:v>
      </x:c>
    </x:row>
    <x:row r="12">
      <x:c r="A12" t="str">
        <x:f>Sales_Data!A12</x:f>
        <x:v>O108</x:v>
      </x:c>
      <x:c r="B12" s="38" t="n">
        <x:f>Sales_Data!I12</x:f>
        <x:v>110000</x:v>
      </x:c>
      <x:c r="C12" s="38" t="n">
        <x:f>Sales_Data!L12</x:f>
        <x:v>16000</x:v>
      </x:c>
      <x:c r="D12" s="42" t="n">
        <x:f>IFERROR(C12/B12,0)</x:f>
        <x:v>0.14545454545454545</x:v>
      </x:c>
    </x:row>
    <x:row r="13">
      <x:c r="A13" t="str">
        <x:f>Sales_Data!A13</x:f>
        <x:v>O009</x:v>
      </x:c>
      <x:c r="B13" s="38" t="n">
        <x:f>Sales_Data!I13</x:f>
        <x:v>55000</x:v>
      </x:c>
      <x:c r="C13" s="38" t="n">
        <x:f>Sales_Data!L13</x:f>
        <x:v>8000</x:v>
      </x:c>
      <x:c r="D13" s="42" t="n">
        <x:f>IFERROR(C13/B13,0)</x:f>
        <x:v>0.14545454545454545</x:v>
      </x:c>
    </x:row>
    <x:row r="14">
      <x:c r="A14" t="str">
        <x:f>Sales_Data!A14</x:f>
        <x:v>O010</x:v>
      </x:c>
      <x:c r="B14" s="38" t="n">
        <x:f>Sales_Data!I14</x:f>
        <x:v>2400</x:v>
      </x:c>
      <x:c r="C14" s="38" t="n">
        <x:f>Sales_Data!L14</x:f>
        <x:v>1000</x:v>
      </x:c>
      <x:c r="D14" s="42" t="n">
        <x:f>IFERROR(C14/B14,0)</x:f>
        <x:v>0.4166666666666667</x:v>
      </x:c>
    </x:row>
    <x:row r="15">
      <x:c r="A15" t="str">
        <x:f>Sales_Data!A15</x:f>
        <x:v>O011</x:v>
      </x:c>
      <x:c r="B15" s="38" t="n">
        <x:f>Sales_Data!I15</x:f>
        <x:v>7500</x:v>
      </x:c>
      <x:c r="C15" s="38" t="n">
        <x:f>Sales_Data!L15</x:f>
        <x:v>3000</x:v>
      </x:c>
      <x:c r="D15" s="42" t="n">
        <x:f>IFERROR(C15/B15,0)</x:f>
        <x:v>0.4</x:v>
      </x:c>
    </x:row>
    <x:row r="16">
      <x:c r="A16" t="str">
        <x:f>Sales_Data!A16</x:f>
        <x:v>O012</x:v>
      </x:c>
      <x:c r="B16" s="38" t="n">
        <x:f>Sales_Data!I16</x:f>
        <x:v>72000</x:v>
      </x:c>
      <x:c r="C16" s="38" t="n">
        <x:f>Sales_Data!L16</x:f>
        <x:v>14000</x:v>
      </x:c>
      <x:c r="D16" s="42" t="n">
        <x:f>IFERROR(C16/B16,0)</x:f>
        <x:v>0.19444444444444445</x:v>
      </x:c>
    </x:row>
    <x:row r="17">
      <x:c r="A17" t="str">
        <x:f>Sales_Data!A17</x:f>
        <x:v>O013</x:v>
      </x:c>
      <x:c r="B17" s="38" t="n">
        <x:f>Sales_Data!I17</x:f>
        <x:v>17500</x:v>
      </x:c>
      <x:c r="C17" s="38" t="n">
        <x:f>Sales_Data!L17</x:f>
        <x:v>6500</x:v>
      </x:c>
      <x:c r="D17" s="42" t="n">
        <x:f>IFERROR(C17/B17,0)</x:f>
        <x:v>0.37142857142857144</x:v>
      </x:c>
    </x:row>
    <x:row r="18">
      <x:c r="A18" t="str">
        <x:f>Sales_Data!A18</x:f>
        <x:v>O014</x:v>
      </x:c>
      <x:c r="B18" s="38" t="n">
        <x:f>Sales_Data!I18</x:f>
        <x:v>72000</x:v>
      </x:c>
      <x:c r="C18" s="38" t="n">
        <x:f>Sales_Data!L18</x:f>
        <x:v>15000</x:v>
      </x:c>
      <x:c r="D18" s="42" t="n">
        <x:f>IFERROR(C18/B18,0)</x:f>
        <x:v>0.20833333333333334</x:v>
      </x:c>
    </x:row>
    <x:row r="19">
      <x:c r="A19" t="str">
        <x:f>Sales_Data!A19</x:f>
        <x:v>O015</x:v>
      </x:c>
      <x:c r="B19" s="38" t="n">
        <x:f>Sales_Data!I19</x:f>
        <x:v>55000</x:v>
      </x:c>
      <x:c r="C19" s="38" t="n">
        <x:f>Sales_Data!L19</x:f>
        <x:v>8000</x:v>
      </x:c>
      <x:c r="D19" s="42" t="n">
        <x:f>IFERROR(C19/B19,0)</x:f>
        <x:v>0.14545454545454545</x:v>
      </x:c>
    </x:row>
    <x:row r="20">
      <x:c r="A20" t="str">
        <x:f>Sales_Data!A20</x:f>
        <x:v>O016</x:v>
      </x:c>
      <x:c r="B20" s="38" t="n">
        <x:f>Sales_Data!I20</x:f>
        <x:v>2400</x:v>
      </x:c>
      <x:c r="C20" s="38" t="n">
        <x:f>Sales_Data!L20</x:f>
        <x:v>1000</x:v>
      </x:c>
      <x:c r="D20" s="42" t="n">
        <x:f>IFERROR(C20/B20,0)</x:f>
        <x:v>0.4166666666666667</x:v>
      </x:c>
    </x:row>
    <x:row r="21">
      <x:c r="A21" t="str">
        <x:f>Sales_Data!A21</x:f>
        <x:v>O017</x:v>
      </x:c>
      <x:c r="B21" s="38" t="n">
        <x:f>Sales_Data!I21</x:f>
        <x:v>7500</x:v>
      </x:c>
      <x:c r="C21" s="38" t="n">
        <x:f>Sales_Data!L21</x:f>
        <x:v>3000</x:v>
      </x:c>
      <x:c r="D21" s="42" t="n">
        <x:f>IFERROR(C21/B21,0)</x:f>
        <x:v>0.4</x:v>
      </x:c>
    </x:row>
    <x:row r="22">
      <x:c r="A22" t="str">
        <x:f>Sales_Data!A22</x:f>
        <x:v>O018</x:v>
      </x:c>
      <x:c r="B22" s="38" t="n">
        <x:f>Sales_Data!I22</x:f>
        <x:v>72000</x:v>
      </x:c>
      <x:c r="C22" s="38" t="n">
        <x:f>Sales_Data!L22</x:f>
        <x:v>14000</x:v>
      </x:c>
      <x:c r="D22" s="42" t="n">
        <x:f>IFERROR(C22/B22,0)</x:f>
        <x:v>0.19444444444444445</x:v>
      </x:c>
    </x:row>
    <x:row r="23">
      <x:c r="A23" t="str">
        <x:f>Sales_Data!A23</x:f>
        <x:v>O019</x:v>
      </x:c>
      <x:c r="B23" s="38" t="n">
        <x:f>Sales_Data!I23</x:f>
        <x:v>17500</x:v>
      </x:c>
      <x:c r="C23" s="38" t="n">
        <x:f>Sales_Data!L23</x:f>
        <x:v>6500</x:v>
      </x:c>
      <x:c r="D23" s="42" t="n">
        <x:f>IFERROR(C23/B23,0)</x:f>
        <x:v>0.37142857142857144</x:v>
      </x:c>
    </x:row>
    <x:row r="24">
      <x:c r="A24" t="str">
        <x:f>Sales_Data!A24</x:f>
        <x:v>O020</x:v>
      </x:c>
      <x:c r="B24" s="38" t="n">
        <x:f>Sales_Data!I24</x:f>
        <x:v>72000</x:v>
      </x:c>
      <x:c r="C24" s="38" t="n">
        <x:f>Sales_Data!L24</x:f>
        <x:v>15000</x:v>
      </x:c>
      <x:c r="D24" s="42" t="n">
        <x:f>IFERROR(C24/B24,0)</x:f>
        <x:v>0.20833333333333334</x:v>
      </x:c>
    </x:row>
    <x:row r="25">
      <x:c r="A25" t="str">
        <x:f>Sales_Data!A25</x:f>
        <x:v>O021</x:v>
      </x:c>
      <x:c r="B25" s="38" t="n">
        <x:f>Sales_Data!I25</x:f>
        <x:v>55000</x:v>
      </x:c>
      <x:c r="C25" s="38" t="n">
        <x:f>Sales_Data!L25</x:f>
        <x:v>8000</x:v>
      </x:c>
      <x:c r="D25" s="42" t="n">
        <x:f>IFERROR(C25/B25,0)</x:f>
        <x:v>0.14545454545454545</x:v>
      </x:c>
    </x:row>
    <x:row r="26">
      <x:c r="A26" t="str">
        <x:f>Sales_Data!A26</x:f>
        <x:v>O022</x:v>
      </x:c>
      <x:c r="B26" s="38" t="n">
        <x:f>Sales_Data!I26</x:f>
        <x:v>2400</x:v>
      </x:c>
      <x:c r="C26" s="38" t="n">
        <x:f>Sales_Data!L26</x:f>
        <x:v>1000</x:v>
      </x:c>
      <x:c r="D26" s="42" t="n">
        <x:f>IFERROR(C26/B26,0)</x:f>
        <x:v>0.4166666666666667</x:v>
      </x:c>
    </x:row>
    <x:row r="27">
      <x:c r="A27" t="str">
        <x:f>Sales_Data!A27</x:f>
        <x:v>O023</x:v>
      </x:c>
      <x:c r="B27" s="38" t="n">
        <x:f>Sales_Data!I27</x:f>
        <x:v>7500</x:v>
      </x:c>
      <x:c r="C27" s="38" t="n">
        <x:f>Sales_Data!L27</x:f>
        <x:v>3000</x:v>
      </x:c>
      <x:c r="D27" s="42" t="n">
        <x:f>IFERROR(C27/B27,0)</x:f>
        <x:v>0.4</x:v>
      </x:c>
    </x:row>
    <x:row r="28">
      <x:c r="A28" t="str">
        <x:f>Sales_Data!A28</x:f>
        <x:v>O024</x:v>
      </x:c>
      <x:c r="B28" s="38" t="n">
        <x:f>Sales_Data!I28</x:f>
        <x:v>72000</x:v>
      </x:c>
      <x:c r="C28" s="38" t="n">
        <x:f>Sales_Data!L28</x:f>
        <x:v>14000</x:v>
      </x:c>
      <x:c r="D28" s="42" t="n">
        <x:f>IFERROR(C28/B28,0)</x:f>
        <x:v>0.19444444444444445</x:v>
      </x:c>
    </x:row>
    <x:row r="29">
      <x:c r="A29" t="str">
        <x:f>Sales_Data!A29</x:f>
        <x:v>O025</x:v>
      </x:c>
      <x:c r="B29" s="38" t="n">
        <x:f>Sales_Data!I29</x:f>
        <x:v>17500</x:v>
      </x:c>
      <x:c r="C29" s="38" t="n">
        <x:f>Sales_Data!L29</x:f>
        <x:v>6500</x:v>
      </x:c>
      <x:c r="D29" s="42" t="n">
        <x:f>IFERROR(C29/B29,0)</x:f>
        <x:v>0.37142857142857144</x:v>
      </x:c>
    </x:row>
    <x:row r="30">
      <x:c r="A30" t="str">
        <x:f>Sales_Data!A30</x:f>
        <x:v>O026</x:v>
      </x:c>
      <x:c r="B30" s="38" t="n">
        <x:f>Sales_Data!I30</x:f>
        <x:v>72000</x:v>
      </x:c>
      <x:c r="C30" s="38" t="n">
        <x:f>Sales_Data!L30</x:f>
        <x:v>15000</x:v>
      </x:c>
      <x:c r="D30" s="42" t="n">
        <x:f>IFERROR(C30/B30,0)</x:f>
        <x:v>0.20833333333333334</x:v>
      </x:c>
    </x:row>
    <x:row r="31">
      <x:c r="A31" t="str">
        <x:f>Sales_Data!A31</x:f>
        <x:v>O027</x:v>
      </x:c>
      <x:c r="B31" s="38" t="n">
        <x:f>Sales_Data!I31</x:f>
        <x:v>55000</x:v>
      </x:c>
      <x:c r="C31" s="38" t="n">
        <x:f>Sales_Data!L31</x:f>
        <x:v>8000</x:v>
      </x:c>
      <x:c r="D31" s="42" t="n">
        <x:f>IFERROR(C31/B31,0)</x:f>
        <x:v>0.14545454545454545</x:v>
      </x:c>
    </x:row>
    <x:row r="32">
      <x:c r="A32" t="str">
        <x:f>Sales_Data!A32</x:f>
        <x:v>O028</x:v>
      </x:c>
      <x:c r="B32" s="38" t="n">
        <x:f>Sales_Data!I32</x:f>
        <x:v>2400</x:v>
      </x:c>
      <x:c r="C32" s="38" t="n">
        <x:f>Sales_Data!L32</x:f>
        <x:v>1000</x:v>
      </x:c>
      <x:c r="D32" s="42" t="n">
        <x:f>IFERROR(C32/B32,0)</x:f>
        <x:v>0.4166666666666667</x:v>
      </x:c>
    </x:row>
    <x:row r="33">
      <x:c r="A33" t="str">
        <x:f>Sales_Data!A33</x:f>
        <x:v>O029</x:v>
      </x:c>
      <x:c r="B33" s="38" t="n">
        <x:f>Sales_Data!I33</x:f>
        <x:v>7500</x:v>
      </x:c>
      <x:c r="C33" s="38" t="n">
        <x:f>Sales_Data!L33</x:f>
        <x:v>3000</x:v>
      </x:c>
      <x:c r="D33" s="42" t="n">
        <x:f>IFERROR(C33/B33,0)</x:f>
        <x:v>0.4</x:v>
      </x:c>
    </x:row>
    <x:row r="34">
      <x:c r="A34" t="str">
        <x:f>Sales_Data!A34</x:f>
        <x:v>O030</x:v>
      </x:c>
      <x:c r="B34" s="38" t="n">
        <x:f>Sales_Data!I34</x:f>
        <x:v>72000</x:v>
      </x:c>
      <x:c r="C34" s="38" t="n">
        <x:f>Sales_Data!L34</x:f>
        <x:v>14000</x:v>
      </x:c>
      <x:c r="D34" s="42" t="n">
        <x:f>IFERROR(C34/B34,0)</x:f>
        <x:v>0.19444444444444445</x:v>
      </x:c>
    </x:row>
    <x:row r="35">
      <x:c r="A35" t="str">
        <x:f>Sales_Data!A35</x:f>
        <x:v>O031</x:v>
      </x:c>
      <x:c r="B35" s="38" t="n">
        <x:f>Sales_Data!I35</x:f>
        <x:v>17500</x:v>
      </x:c>
      <x:c r="C35" s="38" t="n">
        <x:f>Sales_Data!L35</x:f>
        <x:v>6500</x:v>
      </x:c>
      <x:c r="D35" s="42" t="n">
        <x:f>IFERROR(C35/B35,0)</x:f>
        <x:v>0.37142857142857144</x:v>
      </x:c>
    </x:row>
    <x:row r="36">
      <x:c r="A36" t="str">
        <x:f>Sales_Data!A36</x:f>
        <x:v>O032</x:v>
      </x:c>
      <x:c r="B36" s="38" t="n">
        <x:f>Sales_Data!I36</x:f>
        <x:v>72000</x:v>
      </x:c>
      <x:c r="C36" s="38" t="n">
        <x:f>Sales_Data!L36</x:f>
        <x:v>15000</x:v>
      </x:c>
      <x:c r="D36" s="42" t="n">
        <x:f>IFERROR(C36/B36,0)</x:f>
        <x:v>0.20833333333333334</x:v>
      </x:c>
    </x:row>
    <x:row r="37">
      <x:c r="A37" t="str">
        <x:f>Sales_Data!A37</x:f>
        <x:v>O033</x:v>
      </x:c>
      <x:c r="B37" s="38" t="n">
        <x:f>Sales_Data!I37</x:f>
        <x:v>55000</x:v>
      </x:c>
      <x:c r="C37" s="38" t="n">
        <x:f>Sales_Data!L37</x:f>
        <x:v>8000</x:v>
      </x:c>
      <x:c r="D37" s="42" t="n">
        <x:f>IFERROR(C37/B37,0)</x:f>
        <x:v>0.14545454545454545</x:v>
      </x:c>
    </x:row>
    <x:row r="38">
      <x:c r="A38" t="str">
        <x:f>Sales_Data!A38</x:f>
        <x:v>O034</x:v>
      </x:c>
      <x:c r="B38" s="38" t="n">
        <x:f>Sales_Data!I38</x:f>
        <x:v>2400</x:v>
      </x:c>
      <x:c r="C38" s="38" t="n">
        <x:f>Sales_Data!L38</x:f>
        <x:v>1000</x:v>
      </x:c>
      <x:c r="D38" s="42" t="n">
        <x:f>IFERROR(C38/B38,0)</x:f>
        <x:v>0.4166666666666667</x:v>
      </x:c>
    </x:row>
    <x:row r="39">
      <x:c r="A39" t="str">
        <x:f>Sales_Data!A39</x:f>
        <x:v>O035</x:v>
      </x:c>
      <x:c r="B39" s="38" t="n">
        <x:f>Sales_Data!I39</x:f>
        <x:v>7500</x:v>
      </x:c>
      <x:c r="C39" s="38" t="n">
        <x:f>Sales_Data!L39</x:f>
        <x:v>3000</x:v>
      </x:c>
      <x:c r="D39" s="42" t="n">
        <x:f>IFERROR(C39/B39,0)</x:f>
        <x:v>0.4</x:v>
      </x:c>
    </x:row>
    <x:row r="40">
      <x:c r="A40" t="str">
        <x:f>Sales_Data!A40</x:f>
        <x:v>O036</x:v>
      </x:c>
      <x:c r="B40" s="38" t="n">
        <x:f>Sales_Data!I40</x:f>
        <x:v>72000</x:v>
      </x:c>
      <x:c r="C40" s="38" t="n">
        <x:f>Sales_Data!L40</x:f>
        <x:v>14000</x:v>
      </x:c>
      <x:c r="D40" s="42" t="n">
        <x:f>IFERROR(C40/B40,0)</x:f>
        <x:v>0.19444444444444445</x:v>
      </x:c>
    </x:row>
    <x:row r="41">
      <x:c r="A41" t="str">
        <x:f>Sales_Data!A41</x:f>
        <x:v>O037</x:v>
      </x:c>
      <x:c r="B41" s="38" t="n">
        <x:f>Sales_Data!I41</x:f>
        <x:v>17500</x:v>
      </x:c>
      <x:c r="C41" s="38" t="n">
        <x:f>Sales_Data!L41</x:f>
        <x:v>6500</x:v>
      </x:c>
      <x:c r="D41" s="42" t="n">
        <x:f>IFERROR(C41/B41,0)</x:f>
        <x:v>0.37142857142857144</x:v>
      </x:c>
    </x:row>
    <x:row r="42">
      <x:c r="A42" t="str">
        <x:f>Sales_Data!A42</x:f>
        <x:v>O038</x:v>
      </x:c>
      <x:c r="B42" s="38" t="n">
        <x:f>Sales_Data!I42</x:f>
        <x:v>72000</x:v>
      </x:c>
      <x:c r="C42" s="38" t="n">
        <x:f>Sales_Data!L42</x:f>
        <x:v>15000</x:v>
      </x:c>
      <x:c r="D42" s="42" t="n">
        <x:f>IFERROR(C42/B42,0)</x:f>
        <x:v>0.20833333333333334</x:v>
      </x:c>
    </x:row>
    <x:row r="43">
      <x:c r="A43" t="str">
        <x:f>Sales_Data!A43</x:f>
        <x:v>O039</x:v>
      </x:c>
      <x:c r="B43" s="38" t="n">
        <x:f>Sales_Data!I43</x:f>
        <x:v>55000</x:v>
      </x:c>
      <x:c r="C43" s="38" t="n">
        <x:f>Sales_Data!L43</x:f>
        <x:v>8000</x:v>
      </x:c>
      <x:c r="D43" s="42" t="n">
        <x:f>IFERROR(C43/B43,0)</x:f>
        <x:v>0.14545454545454545</x:v>
      </x:c>
    </x:row>
    <x:row r="44">
      <x:c r="A44" t="str">
        <x:f>Sales_Data!A44</x:f>
        <x:v>O040</x:v>
      </x:c>
      <x:c r="B44" s="38" t="n">
        <x:f>Sales_Data!I44</x:f>
        <x:v>2400</x:v>
      </x:c>
      <x:c r="C44" s="38" t="n">
        <x:f>Sales_Data!L44</x:f>
        <x:v>1000</x:v>
      </x:c>
      <x:c r="D44" s="42" t="n">
        <x:f>IFERROR(C44/B44,0)</x:f>
        <x:v>0.4166666666666667</x:v>
      </x:c>
    </x:row>
  </x:sheetData>
  <x:mergeCells>
    <x:mergeCell ref="A1:N1"/>
    <x:mergeCell ref="A2:N2"/>
  </x:mergeCells>
  <x:pageMargins left="0.7" right="0.7" top="0.75" bottom="0.75" header="0.3" footer="0.3"/>
</x:worksheet>
</file>