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513f0bdba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adb5ab1c4634242"/>
    <x:sheet xmlns:r="http://schemas.openxmlformats.org/officeDocument/2006/relationships" name="Raw_Data" sheetId="2" r:id="R307b49c1c99d4cc4"/>
    <x:sheet xmlns:r="http://schemas.openxmlformats.org/officeDocument/2006/relationships" name="Cleaned_Data" sheetId="3" r:id="R62d9b7ad6396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₹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be8f8ae0f4eed" /><Relationship Type="http://schemas.openxmlformats.org/officeDocument/2006/relationships/theme" Target="/xl/theme/theme1.xml" Id="R3372655ec5394f04" /><Relationship Type="http://schemas.openxmlformats.org/officeDocument/2006/relationships/sharedStrings" Target="/xl/sharedStrings.xml" Id="Rf693b758353044ef" /><Relationship Type="http://schemas.openxmlformats.org/officeDocument/2006/relationships/worksheet" Target="/xl/worksheets/sheet1.xml" Id="Readb5ab1c4634242" /><Relationship Type="http://schemas.openxmlformats.org/officeDocument/2006/relationships/worksheet" Target="/xl/worksheets/sheet2.xml" Id="R307b49c1c99d4cc4" /><Relationship Type="http://schemas.openxmlformats.org/officeDocument/2006/relationships/worksheet" Target="/xl/worksheets/sheet3.xml" Id="R62d9b7ad63964f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5 — Text &amp; Date Cleaning</x:v>
      </x:c>
    </x:row>
    <x:row r="2" ht="24" customHeight="1">
      <x:c r="A2" s="18" t="str">
        <x:v>14-day Excel Data Analytics GitHub repository | Day 5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Clean inconsistent text and create date attributes for analysis.</x:v>
      </x:c>
    </x:row>
    <x:row r="6">
      <x:c r="A6" s="34" t="str">
        <x:v>Concepts</x:v>
      </x:c>
      <x:c r="B6" s="32" t="str">
        <x:v>TRIM, CLEAN, UPPER, LOWER, PROPER, LEFT, RIGHT, MID, LEN, YEAR, MONTH, DAY.</x:v>
      </x:c>
    </x:row>
    <x:row r="7">
      <x:c r="A7" s="34" t="str">
        <x:v>Practice Tasks</x:v>
      </x:c>
      <x:c r="B7" s="32" t="str">
        <x:v>1) Clean noisy Region and Product fields. 2) Create Year/Month/Day columns. 3) Flag invalid text entries.</x:v>
      </x:c>
    </x:row>
    <x:row r="8">
      <x:c r="A8" s="34" t="str">
        <x:v>Source Alignment</x:v>
      </x:c>
      <x:c r="B8" s="32" t="str">
        <x:v>Based on the user-provided Unit1&amp;2.pdf, pages 10 (text functions, date functions, Excel Tables).</x:v>
      </x:c>
    </x:row>
    <x:row r="9">
      <x:c r="A9" s="34" t="str">
        <x:v>GitHub Commit Suggestion</x:v>
      </x:c>
      <x:c r="B9" s="32" t="str">
        <x:v>Day 5: Text &amp; Date Cleaning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28" customHeight="1">
      <x:c r="A1" s="5" t="str">
        <x:v>Raw / Messy Data</x:v>
      </x:c>
    </x:row>
    <x:row r="2" ht="24" customHeight="1">
      <x:c r="A2" s="18" t="str">
        <x:v>Intentionally messy values for cleaning practice.</x:v>
      </x:c>
    </x:row>
    <x:row r="4">
      <x:c r="A4" s="24" t="str">
        <x:v>Order ID</x:v>
      </x:c>
      <x:c r="B4" s="24" t="str">
        <x:v>Region Raw</x:v>
      </x:c>
      <x:c r="C4" s="24" t="str">
        <x:v>Product Raw</x:v>
      </x:c>
      <x:c r="D4" s="24" t="str">
        <x:v>Date Raw</x:v>
      </x:c>
      <x:c r="E4" s="24" t="str">
        <x:v>Amount</x:v>
      </x:c>
      <x:c r="F4" s="24" t="str">
        <x:v>Status Raw</x:v>
      </x:c>
      <x:c r="G4" s="24" t="str">
        <x:v>Customer Code</x:v>
      </x:c>
      <x:c r="H4" s="24" t="str">
        <x:v>Notes</x:v>
      </x:c>
    </x:row>
    <x:row r="5">
      <x:c r="A5" t="str">
        <x:v>O201</x:v>
      </x:c>
      <x:c r="B5" t="str">
        <x:v> north </x:v>
      </x:c>
      <x:c r="C5" t="str">
        <x:v> laptop</x:v>
      </x:c>
      <x:c r="D5" t="str">
        <x:v>15-Aug-2026</x:v>
      </x:c>
      <x:c r="E5" t="n">
        <x:v>55000</x:v>
      </x:c>
      <x:c r="F5" t="str">
        <x:v> completed </x:v>
      </x:c>
      <x:c r="G5" t="str">
        <x:v>C-101</x:v>
      </x:c>
      <x:c r="H5" t="str">
        <x:v>  urgent </x:v>
      </x:c>
    </x:row>
    <x:row r="6">
      <x:c r="A6" t="str">
        <x:v>O202</x:v>
      </x:c>
      <x:c r="B6" t="str">
        <x:v>SOUTH</x:v>
      </x:c>
      <x:c r="C6" t="str">
        <x:v> mouse </x:v>
      </x:c>
      <x:c r="D6" t="str">
        <x:v>16-Aug-2026</x:v>
      </x:c>
      <x:c r="E6" t="n">
        <x:v>6000</x:v>
      </x:c>
      <x:c r="F6" t="str">
        <x:v>Completed</x:v>
      </x:c>
      <x:c r="G6" t="str">
        <x:v>C-102</x:v>
      </x:c>
      <x:c r="H6" t="str">
        <x:v>normal</x:v>
      </x:c>
    </x:row>
    <x:row r="7">
      <x:c r="A7" t="str">
        <x:v>O203</x:v>
      </x:c>
      <x:c r="B7" t="str">
        <x:v>West  </x:v>
      </x:c>
      <x:c r="C7" t="str">
        <x:v>KEYBOARD</x:v>
      </x:c>
      <x:c r="D7" t="str">
        <x:v>17-Aug-2026</x:v>
      </x:c>
      <x:c r="E7" t="n">
        <x:v>7500</x:v>
      </x:c>
      <x:c r="F7" t="str">
        <x:v> pending </x:v>
      </x:c>
      <x:c r="G7" t="str">
        <x:v>C-103</x:v>
      </x:c>
      <x:c r="H7" t="str">
        <x:v> follow-up</x:v>
      </x:c>
    </x:row>
    <x:row r="8">
      <x:c r="A8" t="str">
        <x:v>O204</x:v>
      </x:c>
      <x:c r="B8" t="str">
        <x:v> east</x:v>
      </x:c>
      <x:c r="C8" t="str">
        <x:v>Monitor </x:v>
      </x:c>
      <x:c r="D8" t="str">
        <x:v>18-Aug-2026</x:v>
      </x:c>
      <x:c r="E8" t="n">
        <x:v>36000</x:v>
      </x:c>
      <x:c r="F8" t="str">
        <x:v>COMPLETED</x:v>
      </x:c>
      <x:c r="G8" t="str">
        <x:v>C-104</x:v>
      </x:c>
      <x:c r="H8" t="str">
        <x:v>ok</x:v>
      </x:c>
    </x:row>
    <x:row r="9">
      <x:c r="A9" t="str">
        <x:v>O205</x:v>
      </x:c>
      <x:c r="B9" t="str">
        <x:v>nOrTh</x:v>
      </x:c>
      <x:c r="C9" t="str">
        <x:v> Laptop </x:v>
      </x:c>
      <x:c r="D9" t="str">
        <x:v>19-Aug-2026</x:v>
      </x:c>
      <x:c r="E9" t="n">
        <x:v>55000</x:v>
      </x:c>
      <x:c r="F9" t="str">
        <x:v>Completed</x:v>
      </x:c>
      <x:c r="G9" t="str">
        <x:v>C-105</x:v>
      </x:c>
      <x:c r="H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8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22" hidden="0" customWidth="1"/>
    <x:col min="14" max="14" width="12" hidden="0" customWidth="1"/>
  </x:cols>
  <x:sheetData>
    <x:row r="1" ht="28" customHeight="1">
      <x:c r="A1" s="5" t="str">
        <x:v>Cleaned Data</x:v>
      </x:c>
    </x:row>
    <x:row r="2" ht="24" customHeight="1">
      <x:c r="A2" s="18" t="str">
        <x:v>Use formulas to standardize the raw fields and extract date attributes.</x:v>
      </x:c>
    </x:row>
    <x:row r="4">
      <x:c r="A4" s="24" t="str">
        <x:v>Order ID</x:v>
      </x:c>
      <x:c r="B4" s="24" t="str">
        <x:v>Region</x:v>
      </x:c>
      <x:c r="C4" s="24" t="str">
        <x:v>Product</x:v>
      </x:c>
      <x:c r="D4" s="24" t="str">
        <x:v>Date</x:v>
      </x:c>
      <x:c r="E4" s="24" t="str">
        <x:v>Amount</x:v>
      </x:c>
      <x:c r="F4" s="24" t="str">
        <x:v>Status</x:v>
      </x:c>
      <x:c r="G4" s="24" t="str">
        <x:v>Customer Code</x:v>
      </x:c>
      <x:c r="H4" s="24" t="str">
        <x:v>Notes</x:v>
      </x:c>
      <x:c r="I4" s="24" t="str">
        <x:v>Year</x:v>
      </x:c>
      <x:c r="J4" s="24" t="str">
        <x:v>Month</x:v>
      </x:c>
      <x:c r="K4" s="24" t="str">
        <x:v>Day</x:v>
      </x:c>
      <x:c r="L4" s="24" t="str">
        <x:v>Region Check</x:v>
      </x:c>
      <x:c r="M4" s="24" t="str">
        <x:v>Clean Notes</x:v>
      </x:c>
      <x:c r="N4" s="24" t="str">
        <x:v>Text Length</x:v>
      </x:c>
    </x:row>
    <x:row r="5">
      <x:c r="A5" t="str">
        <x:f>Raw_Data!A5</x:f>
        <x:v>O201</x:v>
      </x:c>
      <x:c r="B5" t="str">
        <x:f>PROPER(TRIM(CLEAN(Raw_Data!B5)))</x:f>
        <x:v>North</x:v>
      </x:c>
      <x:c r="C5" t="str">
        <x:f>PROPER(TRIM(CLEAN(Raw_Data!C5)))</x:f>
        <x:v>Laptop</x:v>
      </x:c>
      <x:c r="D5" s="36" t="str">
        <x:f>Raw_Data!D5</x:f>
        <x:v>15-Aug-2026</x:v>
      </x:c>
      <x:c r="E5" s="38" t="n">
        <x:f>Raw_Data!E5</x:f>
        <x:v>55000</x:v>
      </x:c>
      <x:c r="F5" t="str">
        <x:f>PROPER(TRIM(CLEAN(Raw_Data!F5)))</x:f>
        <x:v>Completed</x:v>
      </x:c>
      <x:c r="G5" t="str">
        <x:f>Raw_Data!G5</x:f>
        <x:v>C-101</x:v>
      </x:c>
      <x:c r="H5" t="str">
        <x:f>Raw_Data!H5</x:f>
        <x:v>  urgent </x:v>
      </x:c>
      <x:c r="I5" t="n">
        <x:f>YEAR(D5)</x:f>
        <x:v>2026</x:v>
      </x:c>
      <x:c r="J5" t="n">
        <x:f>MONTH(D5)</x:f>
        <x:v>8</x:v>
      </x:c>
      <x:c r="K5" t="n">
        <x:f>DAY(D5)</x:f>
        <x:v>15</x:v>
      </x:c>
      <x:c r="L5" t="str">
        <x:f>IF(OR(B5="North",B5="South",B5="East",B5="West"),"OK","Check")</x:f>
        <x:v>OK</x:v>
      </x:c>
      <x:c r="M5" t="str">
        <x:f>TRIM(CLEAN(H5))</x:f>
        <x:v>urgent</x:v>
      </x:c>
      <x:c r="N5" t="n">
        <x:f>LEN(M5)</x:f>
        <x:v>6</x:v>
      </x:c>
    </x:row>
    <x:row r="6">
      <x:c r="A6" t="str">
        <x:f>Raw_Data!A6</x:f>
        <x:v>O202</x:v>
      </x:c>
      <x:c r="B6" t="str">
        <x:f>PROPER(TRIM(CLEAN(Raw_Data!B6)))</x:f>
        <x:v>South</x:v>
      </x:c>
      <x:c r="C6" t="str">
        <x:f>PROPER(TRIM(CLEAN(Raw_Data!C6)))</x:f>
        <x:v>Mouse</x:v>
      </x:c>
      <x:c r="D6" s="36" t="str">
        <x:f>Raw_Data!D6</x:f>
        <x:v>16-Aug-2026</x:v>
      </x:c>
      <x:c r="E6" s="38" t="n">
        <x:f>Raw_Data!E6</x:f>
        <x:v>6000</x:v>
      </x:c>
      <x:c r="F6" t="str">
        <x:f>PROPER(TRIM(CLEAN(Raw_Data!F6)))</x:f>
        <x:v>Completed</x:v>
      </x:c>
      <x:c r="G6" t="str">
        <x:f>Raw_Data!G6</x:f>
        <x:v>C-102</x:v>
      </x:c>
      <x:c r="H6" t="str">
        <x:f>Raw_Data!H6</x:f>
        <x:v>normal</x:v>
      </x:c>
      <x:c r="I6" t="n">
        <x:f>YEAR(D6)</x:f>
        <x:v>2026</x:v>
      </x:c>
      <x:c r="J6" t="n">
        <x:f>MONTH(D6)</x:f>
        <x:v>8</x:v>
      </x:c>
      <x:c r="K6" t="n">
        <x:f>DAY(D6)</x:f>
        <x:v>16</x:v>
      </x:c>
      <x:c r="L6" t="str">
        <x:f>IF(OR(B6="North",B6="South",B6="East",B6="West"),"OK","Check")</x:f>
        <x:v>OK</x:v>
      </x:c>
      <x:c r="M6" t="str">
        <x:f>TRIM(CLEAN(H6))</x:f>
        <x:v>normal</x:v>
      </x:c>
      <x:c r="N6" t="n">
        <x:f>LEN(M6)</x:f>
        <x:v>6</x:v>
      </x:c>
    </x:row>
    <x:row r="7">
      <x:c r="A7" t="str">
        <x:f>Raw_Data!A7</x:f>
        <x:v>O203</x:v>
      </x:c>
      <x:c r="B7" t="str">
        <x:f>PROPER(TRIM(CLEAN(Raw_Data!B7)))</x:f>
        <x:v>West</x:v>
      </x:c>
      <x:c r="C7" t="str">
        <x:f>PROPER(TRIM(CLEAN(Raw_Data!C7)))</x:f>
        <x:v>Keyboard</x:v>
      </x:c>
      <x:c r="D7" s="36" t="str">
        <x:f>Raw_Data!D7</x:f>
        <x:v>17-Aug-2026</x:v>
      </x:c>
      <x:c r="E7" s="38" t="n">
        <x:f>Raw_Data!E7</x:f>
        <x:v>7500</x:v>
      </x:c>
      <x:c r="F7" t="str">
        <x:f>PROPER(TRIM(CLEAN(Raw_Data!F7)))</x:f>
        <x:v>Pending</x:v>
      </x:c>
      <x:c r="G7" t="str">
        <x:f>Raw_Data!G7</x:f>
        <x:v>C-103</x:v>
      </x:c>
      <x:c r="H7" t="str">
        <x:f>Raw_Data!H7</x:f>
        <x:v> follow-up</x:v>
      </x:c>
      <x:c r="I7" t="n">
        <x:f>YEAR(D7)</x:f>
        <x:v>2026</x:v>
      </x:c>
      <x:c r="J7" t="n">
        <x:f>MONTH(D7)</x:f>
        <x:v>8</x:v>
      </x:c>
      <x:c r="K7" t="n">
        <x:f>DAY(D7)</x:f>
        <x:v>17</x:v>
      </x:c>
      <x:c r="L7" t="str">
        <x:f>IF(OR(B7="North",B7="South",B7="East",B7="West"),"OK","Check")</x:f>
        <x:v>OK</x:v>
      </x:c>
      <x:c r="M7" t="str">
        <x:f>TRIM(CLEAN(H7))</x:f>
        <x:v>follow-up</x:v>
      </x:c>
      <x:c r="N7" t="n">
        <x:f>LEN(M7)</x:f>
        <x:v>9</x:v>
      </x:c>
    </x:row>
    <x:row r="8">
      <x:c r="A8" t="str">
        <x:f>Raw_Data!A8</x:f>
        <x:v>O204</x:v>
      </x:c>
      <x:c r="B8" t="str">
        <x:f>PROPER(TRIM(CLEAN(Raw_Data!B8)))</x:f>
        <x:v>East</x:v>
      </x:c>
      <x:c r="C8" t="str">
        <x:f>PROPER(TRIM(CLEAN(Raw_Data!C8)))</x:f>
        <x:v>Monitor</x:v>
      </x:c>
      <x:c r="D8" s="36" t="str">
        <x:f>Raw_Data!D8</x:f>
        <x:v>18-Aug-2026</x:v>
      </x:c>
      <x:c r="E8" s="38" t="n">
        <x:f>Raw_Data!E8</x:f>
        <x:v>36000</x:v>
      </x:c>
      <x:c r="F8" t="str">
        <x:f>PROPER(TRIM(CLEAN(Raw_Data!F8)))</x:f>
        <x:v>Completed</x:v>
      </x:c>
      <x:c r="G8" t="str">
        <x:f>Raw_Data!G8</x:f>
        <x:v>C-104</x:v>
      </x:c>
      <x:c r="H8" t="str">
        <x:f>Raw_Data!H8</x:f>
        <x:v>ok</x:v>
      </x:c>
      <x:c r="I8" t="n">
        <x:f>YEAR(D8)</x:f>
        <x:v>2026</x:v>
      </x:c>
      <x:c r="J8" t="n">
        <x:f>MONTH(D8)</x:f>
        <x:v>8</x:v>
      </x:c>
      <x:c r="K8" t="n">
        <x:f>DAY(D8)</x:f>
        <x:v>18</x:v>
      </x:c>
      <x:c r="L8" t="str">
        <x:f>IF(OR(B8="North",B8="South",B8="East",B8="West"),"OK","Check")</x:f>
        <x:v>OK</x:v>
      </x:c>
      <x:c r="M8" t="str">
        <x:f>TRIM(CLEAN(H8))</x:f>
        <x:v>ok</x:v>
      </x:c>
      <x:c r="N8" t="n">
        <x:f>LEN(M8)</x:f>
        <x:v>2</x:v>
      </x:c>
    </x:row>
    <x:row r="9">
      <x:c r="A9" t="str">
        <x:f>Raw_Data!A9</x:f>
        <x:v>O205</x:v>
      </x:c>
      <x:c r="B9" t="str">
        <x:f>PROPER(TRIM(CLEAN(Raw_Data!B9)))</x:f>
        <x:v>North</x:v>
      </x:c>
      <x:c r="C9" t="str">
        <x:f>PROPER(TRIM(CLEAN(Raw_Data!C9)))</x:f>
        <x:v>Laptop</x:v>
      </x:c>
      <x:c r="D9" s="36" t="str">
        <x:f>Raw_Data!D9</x:f>
        <x:v>19-Aug-2026</x:v>
      </x:c>
      <x:c r="E9" s="38" t="n">
        <x:f>Raw_Data!E9</x:f>
        <x:v>55000</x:v>
      </x:c>
      <x:c r="F9" t="str">
        <x:f>PROPER(TRIM(CLEAN(Raw_Data!F9)))</x:f>
        <x:v>Completed</x:v>
      </x:c>
      <x:c r="G9" t="str">
        <x:f>Raw_Data!G9</x:f>
        <x:v>C-105</x:v>
      </x:c>
      <x:c r="H9" t="n">
        <x:f>Raw_Data!H9</x:f>
        <x:v>0</x:v>
      </x:c>
      <x:c r="I9" t="n">
        <x:f>YEAR(D9)</x:f>
        <x:v>2026</x:v>
      </x:c>
      <x:c r="J9" t="n">
        <x:f>MONTH(D9)</x:f>
        <x:v>8</x:v>
      </x:c>
      <x:c r="K9" t="n">
        <x:f>DAY(D9)</x:f>
        <x:v>19</x:v>
      </x:c>
      <x:c r="L9" t="str">
        <x:f>IF(OR(B9="North",B9="South",B9="East",B9="West"),"OK","Check")</x:f>
        <x:v>OK</x:v>
      </x:c>
      <x:c r="M9" t="str">
        <x:f>TRIM(CLEAN(H9))</x:f>
      </x:c>
      <x:c r="N9" t="n">
        <x:f>LEN(M9)</x:f>
        <x:v>0</x:v>
      </x:c>
    </x:row>
  </x:sheetData>
  <x:mergeCells>
    <x:mergeCell ref="A1:N1"/>
    <x:mergeCell ref="A2:N2"/>
  </x:mergeCells>
  <x:pageMargins left="0.7" right="0.7" top="0.75" bottom="0.75" header="0.3" footer="0.3"/>
</x:worksheet>
</file>