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2bfb81bd44d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b8dffdd51bc48dc"/>
    <x:sheet xmlns:r="http://schemas.openxmlformats.org/officeDocument/2006/relationships" name="Sales_Data" sheetId="2" r:id="Rcdca9bbc1385494d"/>
    <x:sheet xmlns:r="http://schemas.openxmlformats.org/officeDocument/2006/relationships" name="Monthly_Summary" sheetId="3" r:id="R8f1dad3f1a734665"/>
    <x:sheet xmlns:r="http://schemas.openxmlformats.org/officeDocument/2006/relationships" name="Region_Summary" sheetId="4" r:id="R98ee89c524174305"/>
    <x:sheet xmlns:r="http://schemas.openxmlformats.org/officeDocument/2006/relationships" name="Charts" sheetId="5" r:id="Rc253d7a5506c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₹#,##0"/>
    <x:numFmt numFmtId="202" formatCode="0"/>
    <x:numFmt numFmtId="203" formatCode="mmm-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b281c153d3494a" /><Relationship Type="http://schemas.openxmlformats.org/officeDocument/2006/relationships/theme" Target="/xl/theme/theme1.xml" Id="R69d91b86d33a4654" /><Relationship Type="http://schemas.openxmlformats.org/officeDocument/2006/relationships/sharedStrings" Target="/xl/sharedStrings.xml" Id="R319fbb7294e7400b" /><Relationship Type="http://schemas.openxmlformats.org/officeDocument/2006/relationships/worksheet" Target="/xl/worksheets/sheet1.xml" Id="Rbb8dffdd51bc48dc" /><Relationship Type="http://schemas.openxmlformats.org/officeDocument/2006/relationships/worksheet" Target="/xl/worksheets/sheet2.xml" Id="Rcdca9bbc1385494d" /><Relationship Type="http://schemas.openxmlformats.org/officeDocument/2006/relationships/worksheet" Target="/xl/worksheets/sheet3.xml" Id="R8f1dad3f1a734665" /><Relationship Type="http://schemas.openxmlformats.org/officeDocument/2006/relationships/worksheet" Target="/xl/worksheets/sheet4.xml" Id="R98ee89c524174305" /><Relationship Type="http://schemas.openxmlformats.org/officeDocument/2006/relationships/worksheet" Target="/xl/worksheets/sheet5.xml" Id="Rc253d7a5506c4b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89c868ceba4249" /><Relationship Type="http://schemas.openxmlformats.org/officeDocument/2006/relationships/chart" Target="/xl/drawings/charts/chart2.xml" Id="Red4aa6e0b6574d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Trend</a:t>
            </a:r>
          </a:p>
        </c:rich>
      </c:tx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'Charts'!$A$5:$A$16</c:f>
              <c:strCache>
                <c:ptCount val="0"/>
              </c:strCache>
            </c:strRef>
          </c:cat>
          <c:val>
            <c:numRef>
              <c:f>'Charts'!$B$5:$B$16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Region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'Charts'!$D$5:$D$8</c:f>
              <c:strCache>
                <c:ptCount val="0"/>
              </c:strCache>
            </c:strRef>
          </c:cat>
          <c:val>
            <c:numRef>
              <c:f>'Charts'!$E$5:$E$8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89c868ceba4249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4aa6e0b6574d4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Table" displayName="SalesDataTable" ref="A4:L44" headerRowCount="1" totalsRowCount="0" totalsRowShown="0">
  <x:tableColumns count="12">
    <x:tableColumn id="1" name="Order ID"/>
    <x:tableColumn id="2" name="Date"/>
    <x:tableColumn id="3" name="Region"/>
    <x:tableColumn id="4" name="Category"/>
    <x:tableColumn id="5" name="Product"/>
    <x:tableColumn id="6" name="Quantity"/>
    <x:tableColumn id="7" name="Unit Price"/>
    <x:tableColumn id="8" name="Cost"/>
    <x:tableColumn id="9" name="Revenue"/>
    <x:tableColumn id="10" name="Status"/>
    <x:tableColumn id="11" name="Salesperson"/>
    <x:tableColumn id="12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b159d685fd43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77ff2f38745944a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DAY 9 — Charts &amp; PivotCharts</x:v>
      </x:c>
    </x:row>
    <x:row r="2" ht="24" customHeight="1">
      <x:c r="A2" s="18" t="str">
        <x:v>14-day Excel Data Analytics GitHub repository | Day 9</x:v>
      </x:c>
    </x:row>
    <x:row r="4">
      <x:c r="A4" s="24" t="str">
        <x:v>Section</x:v>
      </x:c>
      <x:c r="B4" s="24" t="str">
        <x:v>Details</x:v>
      </x:c>
    </x:row>
    <x:row r="5">
      <x:c r="A5" s="34" t="str">
        <x:v>Objective</x:v>
      </x:c>
      <x:c r="B5" s="32" t="str">
        <x:v>Communicate trends and comparisons using Excel charts selected for analytical questions.</x:v>
      </x:c>
    </x:row>
    <x:row r="6">
      <x:c r="A6" s="34" t="str">
        <x:v>Concepts</x:v>
      </x:c>
      <x:c r="B6" s="32" t="str">
        <x:v>Column, Bar, Line, Doughnut/Pie, Scatter, Combo; chart rules.</x:v>
      </x:c>
    </x:row>
    <x:row r="7">
      <x:c r="A7" s="34" t="str">
        <x:v>Practice Tasks</x:v>
      </x:c>
      <x:c r="B7" s="32" t="str">
        <x:v>1) Analyze monthly revenue. 2) Compare revenue by region. 3) Create at least two charts in desktop Excel. 4) Add clear titles and units.</x:v>
      </x:c>
    </x:row>
    <x:row r="8">
      <x:c r="A8" s="34" t="str">
        <x:v>Source Alignment</x:v>
      </x:c>
      <x:c r="B8" s="32" t="str">
        <x:v>Based on the user-provided Unit1&amp;2.pdf, pages 14–15 (PivotCharts and chart-selection rules).</x:v>
      </x:c>
    </x:row>
    <x:row r="9">
      <x:c r="A9" s="34" t="str">
        <x:v>GitHub Commit Suggestion</x:v>
      </x:c>
      <x:c r="B9" s="32" t="str">
        <x:v>Day 9: Charts &amp; PivotCharts — Excel practice workbook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5" hidden="0" customWidth="1"/>
    <x:col min="5" max="5" width="15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28" customHeight="1">
      <x:c r="A1" s="5" t="str">
        <x:v>Sales Practice Dataset</x:v>
      </x:c>
    </x:row>
    <x:row r="2" ht="24" customHeight="1">
      <x:c r="A2" s="18" t="str">
        <x:v>Extended practice data using the same fields and logic as the PDF case study.</x:v>
      </x:c>
    </x:row>
    <x:row r="4">
      <x:c r="A4" s="24" t="str">
        <x:v>Order ID</x:v>
      </x:c>
      <x:c r="B4" s="24" t="str">
        <x:v>Date</x:v>
      </x:c>
      <x:c r="C4" s="24" t="str">
        <x:v>Region</x:v>
      </x:c>
      <x:c r="D4" s="24" t="str">
        <x:v>Category</x:v>
      </x:c>
      <x:c r="E4" s="24" t="str">
        <x:v>Product</x:v>
      </x:c>
      <x:c r="F4" s="24" t="str">
        <x:v>Quantity</x:v>
      </x:c>
      <x:c r="G4" s="24" t="str">
        <x:v>Unit Price</x:v>
      </x:c>
      <x:c r="H4" s="24" t="str">
        <x:v>Cost</x:v>
      </x:c>
      <x:c r="I4" s="24" t="str">
        <x:v>Revenue</x:v>
      </x:c>
      <x:c r="J4" s="24" t="str">
        <x:v>Status</x:v>
      </x:c>
      <x:c r="K4" s="24" t="str">
        <x:v>Salesperson</x:v>
      </x:c>
      <x:c r="L4" s="24" t="str">
        <x:v>Profit</x:v>
      </x:c>
    </x:row>
    <x:row r="5">
      <x:c r="A5" t="str">
        <x:v>O101</x:v>
      </x:c>
      <x:c r="B5" s="36" t="n">
        <x:v>46023</x:v>
      </x:c>
      <x:c r="C5" t="str">
        <x:v>North</x:v>
      </x:c>
      <x:c r="D5" t="str">
        <x:v>Electronics</x:v>
      </x:c>
      <x:c r="E5" t="str">
        <x:v>Laptop</x:v>
      </x:c>
      <x:c r="F5" s="40" t="n">
        <x:v>2</x:v>
      </x:c>
      <x:c r="G5" s="38" t="n">
        <x:v>55000</x:v>
      </x:c>
      <x:c r="H5" s="38" t="n">
        <x:v>94000</x:v>
      </x:c>
      <x:c r="I5" s="38" t="n">
        <x:v>110000</x:v>
      </x:c>
      <x:c r="J5" t="str">
        <x:v>Completed</x:v>
      </x:c>
      <x:c r="K5" t="str">
        <x:v>Aman</x:v>
      </x:c>
      <x:c r="L5" s="38" t="n">
        <x:v>16000</x:v>
      </x:c>
    </x:row>
    <x:row r="6">
      <x:c r="A6" t="str">
        <x:v>O102</x:v>
      </x:c>
      <x:c r="B6" s="36" t="n">
        <x:v>46025</x:v>
      </x:c>
      <x:c r="C6" t="str">
        <x:v>South</x:v>
      </x:c>
      <x:c r="D6" t="str">
        <x:v>Accessories</x:v>
      </x:c>
      <x:c r="E6" t="str">
        <x:v>Mouse</x:v>
      </x:c>
      <x:c r="F6" s="40" t="n">
        <x:v>5</x:v>
      </x:c>
      <x:c r="G6" s="38" t="n">
        <x:v>1200</x:v>
      </x:c>
      <x:c r="H6" s="38" t="n">
        <x:v>3500</x:v>
      </x:c>
      <x:c r="I6" s="38" t="n">
        <x:v>6000</x:v>
      </x:c>
      <x:c r="J6" t="str">
        <x:v>Completed</x:v>
      </x:c>
      <x:c r="K6" t="str">
        <x:v>Riya</x:v>
      </x:c>
      <x:c r="L6" s="38" t="n">
        <x:v>2500</x:v>
      </x:c>
    </x:row>
    <x:row r="7">
      <x:c r="A7" t="str">
        <x:v>O103</x:v>
      </x:c>
      <x:c r="B7" s="36" t="n">
        <x:v>46027</x:v>
      </x:c>
      <x:c r="C7" t="str">
        <x:v>North</x:v>
      </x:c>
      <x:c r="D7" t="str">
        <x:v>Accessories</x:v>
      </x:c>
      <x:c r="E7" t="str">
        <x:v>Keyboard</x:v>
      </x:c>
      <x:c r="F7" s="40" t="n">
        <x:v>3</x:v>
      </x:c>
      <x:c r="G7" s="38" t="n">
        <x:v>2500</x:v>
      </x:c>
      <x:c r="H7" s="38" t="n">
        <x:v>4500</x:v>
      </x:c>
      <x:c r="I7" s="38" t="n">
        <x:v>7500</x:v>
      </x:c>
      <x:c r="J7" t="str">
        <x:v>Pending</x:v>
      </x:c>
      <x:c r="K7" t="str">
        <x:v>Rahul</x:v>
      </x:c>
      <x:c r="L7" s="38" t="n">
        <x:v>3000</x:v>
      </x:c>
    </x:row>
    <x:row r="8">
      <x:c r="A8" t="str">
        <x:v>O104</x:v>
      </x:c>
      <x:c r="B8" s="36" t="n">
        <x:v>46061</x:v>
      </x:c>
      <x:c r="C8" t="str">
        <x:v>West</x:v>
      </x:c>
      <x:c r="D8" t="str">
        <x:v>Electronics</x:v>
      </x:c>
      <x:c r="E8" t="str">
        <x:v>Laptop</x:v>
      </x:c>
      <x:c r="F8" s="40" t="n">
        <x:v>1</x:v>
      </x:c>
      <x:c r="G8" s="38" t="n">
        <x:v>55000</x:v>
      </x:c>
      <x:c r="H8" s="38" t="n">
        <x:v>47000</x:v>
      </x:c>
      <x:c r="I8" s="38" t="n">
        <x:v>55000</x:v>
      </x:c>
      <x:c r="J8" t="str">
        <x:v>Completed</x:v>
      </x:c>
      <x:c r="K8" t="str">
        <x:v>Neha</x:v>
      </x:c>
      <x:c r="L8" s="38" t="n">
        <x:v>8000</x:v>
      </x:c>
    </x:row>
    <x:row r="9">
      <x:c r="A9" t="str">
        <x:v>O105</x:v>
      </x:c>
      <x:c r="B9" s="36" t="n">
        <x:v>46065</x:v>
      </x:c>
      <x:c r="C9" t="str">
        <x:v>South</x:v>
      </x:c>
      <x:c r="D9" t="str">
        <x:v>Electronics</x:v>
      </x:c>
      <x:c r="E9" t="str">
        <x:v>Monitor</x:v>
      </x:c>
      <x:c r="F9" s="40" t="n">
        <x:v>2</x:v>
      </x:c>
      <x:c r="G9" s="38" t="n">
        <x:v>18000</x:v>
      </x:c>
      <x:c r="H9" s="38" t="n">
        <x:v>29000</x:v>
      </x:c>
      <x:c r="I9" s="38" t="n">
        <x:v>36000</x:v>
      </x:c>
      <x:c r="J9" t="str">
        <x:v>Completed</x:v>
      </x:c>
      <x:c r="K9" t="str">
        <x:v>Aman</x:v>
      </x:c>
      <x:c r="L9" s="38" t="n">
        <x:v>7000</x:v>
      </x:c>
    </x:row>
    <x:row r="10">
      <x:c r="A10" t="str">
        <x:v>O106</x:v>
      </x:c>
      <x:c r="B10" s="36" t="n">
        <x:v>46098</x:v>
      </x:c>
      <x:c r="C10" t="str">
        <x:v>North</x:v>
      </x:c>
      <x:c r="D10" t="str">
        <x:v>Accessories</x:v>
      </x:c>
      <x:c r="E10" t="str">
        <x:v>Mouse</x:v>
      </x:c>
      <x:c r="F10" s="40" t="n">
        <x:v>10</x:v>
      </x:c>
      <x:c r="G10" s="38" t="n">
        <x:v>1200</x:v>
      </x:c>
      <x:c r="H10" s="38" t="n">
        <x:v>7000</x:v>
      </x:c>
      <x:c r="I10" s="38" t="n">
        <x:v>12000</x:v>
      </x:c>
      <x:c r="J10" t="str">
        <x:v>Completed</x:v>
      </x:c>
      <x:c r="K10" t="str">
        <x:v>Riya</x:v>
      </x:c>
      <x:c r="L10" s="38" t="n">
        <x:v>5000</x:v>
      </x:c>
    </x:row>
    <x:row r="11">
      <x:c r="A11" t="str">
        <x:v>O107</x:v>
      </x:c>
      <x:c r="B11" s="36" t="n">
        <x:v>46102</x:v>
      </x:c>
      <x:c r="C11" t="str">
        <x:v>West</x:v>
      </x:c>
      <x:c r="D11" t="str">
        <x:v>Accessories</x:v>
      </x:c>
      <x:c r="E11" t="str">
        <x:v>Keyboard</x:v>
      </x:c>
      <x:c r="F11" s="40" t="n">
        <x:v>4</x:v>
      </x:c>
      <x:c r="G11" s="38" t="n">
        <x:v>2500</x:v>
      </x:c>
      <x:c r="H11" s="38" t="n">
        <x:v>6000</x:v>
      </x:c>
      <x:c r="I11" s="38" t="n">
        <x:v>10000</x:v>
      </x:c>
      <x:c r="J11" t="str">
        <x:v>Pending</x:v>
      </x:c>
      <x:c r="K11" t="str">
        <x:v>Rahul</x:v>
      </x:c>
      <x:c r="L11" s="38" t="n">
        <x:v>4000</x:v>
      </x:c>
    </x:row>
    <x:row r="12">
      <x:c r="A12" t="str">
        <x:v>O108</x:v>
      </x:c>
      <x:c r="B12" s="36" t="n">
        <x:v>46114</x:v>
      </x:c>
      <x:c r="C12" t="str">
        <x:v>East</x:v>
      </x:c>
      <x:c r="D12" t="str">
        <x:v>Electronics</x:v>
      </x:c>
      <x:c r="E12" t="str">
        <x:v>Laptop</x:v>
      </x:c>
      <x:c r="F12" s="40" t="n">
        <x:v>2</x:v>
      </x:c>
      <x:c r="G12" s="38" t="n">
        <x:v>55000</x:v>
      </x:c>
      <x:c r="H12" s="38" t="n">
        <x:v>94000</x:v>
      </x:c>
      <x:c r="I12" s="38" t="n">
        <x:v>110000</x:v>
      </x:c>
      <x:c r="J12" t="str">
        <x:v>Completed</x:v>
      </x:c>
      <x:c r="K12" t="str">
        <x:v>Neha</x:v>
      </x:c>
      <x:c r="L12" s="38" t="n">
        <x:v>16000</x:v>
      </x:c>
    </x:row>
    <x:row r="13">
      <x:c r="A13" t="str">
        <x:v>O009</x:v>
      </x:c>
      <x:c r="B13" s="36" t="n">
        <x:v>46122</x:v>
      </x:c>
      <x:c r="C13" t="str">
        <x:v>North</x:v>
      </x:c>
      <x:c r="D13" t="str">
        <x:v>Electronics</x:v>
      </x:c>
      <x:c r="E13" t="str">
        <x:v>Laptop</x:v>
      </x:c>
      <x:c r="F13" s="40" t="n">
        <x:v>1</x:v>
      </x:c>
      <x:c r="G13" s="38" t="n">
        <x:v>55000</x:v>
      </x:c>
      <x:c r="H13" s="38" t="n">
        <x:v>47000</x:v>
      </x:c>
      <x:c r="I13" s="38" t="n">
        <x:v>55000</x:v>
      </x:c>
      <x:c r="J13" t="str">
        <x:v>Completed</x:v>
      </x:c>
      <x:c r="K13" t="str">
        <x:v>Aman</x:v>
      </x:c>
      <x:c r="L13" s="38" t="n">
        <x:v>8000</x:v>
      </x:c>
    </x:row>
    <x:row r="14">
      <x:c r="A14" t="str">
        <x:v>O010</x:v>
      </x:c>
      <x:c r="B14" s="36" t="n">
        <x:v>46127</x:v>
      </x:c>
      <x:c r="C14" t="str">
        <x:v>South</x:v>
      </x:c>
      <x:c r="D14" t="str">
        <x:v>Accessories</x:v>
      </x:c>
      <x:c r="E14" t="str">
        <x:v>Mouse</x:v>
      </x:c>
      <x:c r="F14" s="40" t="n">
        <x:v>2</x:v>
      </x:c>
      <x:c r="G14" s="38" t="n">
        <x:v>1200</x:v>
      </x:c>
      <x:c r="H14" s="38" t="n">
        <x:v>1400</x:v>
      </x:c>
      <x:c r="I14" s="38" t="n">
        <x:v>2400</x:v>
      </x:c>
      <x:c r="J14" t="str">
        <x:v>Pending</x:v>
      </x:c>
      <x:c r="K14" t="str">
        <x:v>Riya</x:v>
      </x:c>
      <x:c r="L14" s="38" t="n">
        <x:v>1000</x:v>
      </x:c>
    </x:row>
    <x:row r="15">
      <x:c r="A15" t="str">
        <x:v>O011</x:v>
      </x:c>
      <x:c r="B15" s="36" t="n">
        <x:v>46132</x:v>
      </x:c>
      <x:c r="C15" t="str">
        <x:v>East</x:v>
      </x:c>
      <x:c r="D15" t="str">
        <x:v>Accessories</x:v>
      </x:c>
      <x:c r="E15" t="str">
        <x:v>Keyboard</x:v>
      </x:c>
      <x:c r="F15" s="40" t="n">
        <x:v>3</x:v>
      </x:c>
      <x:c r="G15" s="38" t="n">
        <x:v>2500</x:v>
      </x:c>
      <x:c r="H15" s="38" t="n">
        <x:v>4500</x:v>
      </x:c>
      <x:c r="I15" s="38" t="n">
        <x:v>7500</x:v>
      </x:c>
      <x:c r="J15" t="str">
        <x:v>Cancelled</x:v>
      </x:c>
      <x:c r="K15" t="str">
        <x:v>Rahul</x:v>
      </x:c>
      <x:c r="L15" s="38" t="n">
        <x:v>3000</x:v>
      </x:c>
    </x:row>
    <x:row r="16">
      <x:c r="A16" t="str">
        <x:v>O012</x:v>
      </x:c>
      <x:c r="B16" s="36" t="n">
        <x:v>46137</x:v>
      </x:c>
      <x:c r="C16" t="str">
        <x:v>West</x:v>
      </x:c>
      <x:c r="D16" t="str">
        <x:v>Electronics</x:v>
      </x:c>
      <x:c r="E16" t="str">
        <x:v>Monitor</x:v>
      </x:c>
      <x:c r="F16" s="40" t="n">
        <x:v>4</x:v>
      </x:c>
      <x:c r="G16" s="38" t="n">
        <x:v>18000</x:v>
      </x:c>
      <x:c r="H16" s="38" t="n">
        <x:v>58000</x:v>
      </x:c>
      <x:c r="I16" s="38" t="n">
        <x:v>72000</x:v>
      </x:c>
      <x:c r="J16" t="str">
        <x:v>Completed</x:v>
      </x:c>
      <x:c r="K16" t="str">
        <x:v>Neha</x:v>
      </x:c>
      <x:c r="L16" s="38" t="n">
        <x:v>14000</x:v>
      </x:c>
    </x:row>
    <x:row r="17">
      <x:c r="A17" t="str">
        <x:v>O013</x:v>
      </x:c>
      <x:c r="B17" s="36" t="n">
        <x:v>46142</x:v>
      </x:c>
      <x:c r="C17" t="str">
        <x:v>North</x:v>
      </x:c>
      <x:c r="D17" t="str">
        <x:v>Accessories</x:v>
      </x:c>
      <x:c r="E17" t="str">
        <x:v>Headphones</x:v>
      </x:c>
      <x:c r="F17" s="40" t="n">
        <x:v>5</x:v>
      </x:c>
      <x:c r="G17" s="38" t="n">
        <x:v>3500</x:v>
      </x:c>
      <x:c r="H17" s="38" t="n">
        <x:v>11000</x:v>
      </x:c>
      <x:c r="I17" s="38" t="n">
        <x:v>17500</x:v>
      </x:c>
      <x:c r="J17" t="str">
        <x:v>Pending</x:v>
      </x:c>
      <x:c r="K17" t="str">
        <x:v>Aman</x:v>
      </x:c>
      <x:c r="L17" s="38" t="n">
        <x:v>6500</x:v>
      </x:c>
    </x:row>
    <x:row r="18">
      <x:c r="A18" t="str">
        <x:v>O014</x:v>
      </x:c>
      <x:c r="B18" s="36" t="n">
        <x:v>46147</x:v>
      </x:c>
      <x:c r="C18" t="str">
        <x:v>South</x:v>
      </x:c>
      <x:c r="D18" t="str">
        <x:v>Electronics</x:v>
      </x:c>
      <x:c r="E18" t="str">
        <x:v>Printer</x:v>
      </x:c>
      <x:c r="F18" s="40" t="n">
        <x:v>6</x:v>
      </x:c>
      <x:c r="G18" s="38" t="n">
        <x:v>12000</x:v>
      </x:c>
      <x:c r="H18" s="38" t="n">
        <x:v>57000</x:v>
      </x:c>
      <x:c r="I18" s="38" t="n">
        <x:v>72000</x:v>
      </x:c>
      <x:c r="J18" t="str">
        <x:v>Cancelled</x:v>
      </x:c>
      <x:c r="K18" t="str">
        <x:v>Riya</x:v>
      </x:c>
      <x:c r="L18" s="38" t="n">
        <x:v>15000</x:v>
      </x:c>
    </x:row>
    <x:row r="19">
      <x:c r="A19" t="str">
        <x:v>O015</x:v>
      </x:c>
      <x:c r="B19" s="36" t="n">
        <x:v>46152</x:v>
      </x:c>
      <x:c r="C19" t="str">
        <x:v>East</x:v>
      </x:c>
      <x:c r="D19" t="str">
        <x:v>Electronics</x:v>
      </x:c>
      <x:c r="E19" t="str">
        <x:v>Laptop</x:v>
      </x:c>
      <x:c r="F19" s="40" t="n">
        <x:v>1</x:v>
      </x:c>
      <x:c r="G19" s="38" t="n">
        <x:v>55000</x:v>
      </x:c>
      <x:c r="H19" s="38" t="n">
        <x:v>47000</x:v>
      </x:c>
      <x:c r="I19" s="38" t="n">
        <x:v>55000</x:v>
      </x:c>
      <x:c r="J19" t="str">
        <x:v>Completed</x:v>
      </x:c>
      <x:c r="K19" t="str">
        <x:v>Rahul</x:v>
      </x:c>
      <x:c r="L19" s="38" t="n">
        <x:v>8000</x:v>
      </x:c>
    </x:row>
    <x:row r="20">
      <x:c r="A20" t="str">
        <x:v>O016</x:v>
      </x:c>
      <x:c r="B20" s="36" t="n">
        <x:v>46157</x:v>
      </x:c>
      <x:c r="C20" t="str">
        <x:v>West</x:v>
      </x:c>
      <x:c r="D20" t="str">
        <x:v>Accessories</x:v>
      </x:c>
      <x:c r="E20" t="str">
        <x:v>Mouse</x:v>
      </x:c>
      <x:c r="F20" s="40" t="n">
        <x:v>2</x:v>
      </x:c>
      <x:c r="G20" s="38" t="n">
        <x:v>1200</x:v>
      </x:c>
      <x:c r="H20" s="38" t="n">
        <x:v>1400</x:v>
      </x:c>
      <x:c r="I20" s="38" t="n">
        <x:v>2400</x:v>
      </x:c>
      <x:c r="J20" t="str">
        <x:v>Pending</x:v>
      </x:c>
      <x:c r="K20" t="str">
        <x:v>Neha</x:v>
      </x:c>
      <x:c r="L20" s="38" t="n">
        <x:v>1000</x:v>
      </x:c>
    </x:row>
    <x:row r="21">
      <x:c r="A21" t="str">
        <x:v>O017</x:v>
      </x:c>
      <x:c r="B21" s="36" t="n">
        <x:v>46162</x:v>
      </x:c>
      <x:c r="C21" t="str">
        <x:v>North</x:v>
      </x:c>
      <x:c r="D21" t="str">
        <x:v>Accessories</x:v>
      </x:c>
      <x:c r="E21" t="str">
        <x:v>Keyboard</x:v>
      </x:c>
      <x:c r="F21" s="40" t="n">
        <x:v>3</x:v>
      </x:c>
      <x:c r="G21" s="38" t="n">
        <x:v>2500</x:v>
      </x:c>
      <x:c r="H21" s="38" t="n">
        <x:v>4500</x:v>
      </x:c>
      <x:c r="I21" s="38" t="n">
        <x:v>7500</x:v>
      </x:c>
      <x:c r="J21" t="str">
        <x:v>Cancelled</x:v>
      </x:c>
      <x:c r="K21" t="str">
        <x:v>Aman</x:v>
      </x:c>
      <x:c r="L21" s="38" t="n">
        <x:v>3000</x:v>
      </x:c>
    </x:row>
    <x:row r="22">
      <x:c r="A22" t="str">
        <x:v>O018</x:v>
      </x:c>
      <x:c r="B22" s="36" t="n">
        <x:v>46167</x:v>
      </x:c>
      <x:c r="C22" t="str">
        <x:v>South</x:v>
      </x:c>
      <x:c r="D22" t="str">
        <x:v>Electronics</x:v>
      </x:c>
      <x:c r="E22" t="str">
        <x:v>Monitor</x:v>
      </x:c>
      <x:c r="F22" s="40" t="n">
        <x:v>4</x:v>
      </x:c>
      <x:c r="G22" s="38" t="n">
        <x:v>18000</x:v>
      </x:c>
      <x:c r="H22" s="38" t="n">
        <x:v>58000</x:v>
      </x:c>
      <x:c r="I22" s="38" t="n">
        <x:v>72000</x:v>
      </x:c>
      <x:c r="J22" t="str">
        <x:v>Completed</x:v>
      </x:c>
      <x:c r="K22" t="str">
        <x:v>Riya</x:v>
      </x:c>
      <x:c r="L22" s="38" t="n">
        <x:v>14000</x:v>
      </x:c>
    </x:row>
    <x:row r="23">
      <x:c r="A23" t="str">
        <x:v>O019</x:v>
      </x:c>
      <x:c r="B23" s="36" t="n">
        <x:v>46172</x:v>
      </x:c>
      <x:c r="C23" t="str">
        <x:v>East</x:v>
      </x:c>
      <x:c r="D23" t="str">
        <x:v>Accessories</x:v>
      </x:c>
      <x:c r="E23" t="str">
        <x:v>Headphones</x:v>
      </x:c>
      <x:c r="F23" s="40" t="n">
        <x:v>5</x:v>
      </x:c>
      <x:c r="G23" s="38" t="n">
        <x:v>3500</x:v>
      </x:c>
      <x:c r="H23" s="38" t="n">
        <x:v>11000</x:v>
      </x:c>
      <x:c r="I23" s="38" t="n">
        <x:v>17500</x:v>
      </x:c>
      <x:c r="J23" t="str">
        <x:v>Pending</x:v>
      </x:c>
      <x:c r="K23" t="str">
        <x:v>Rahul</x:v>
      </x:c>
      <x:c r="L23" s="38" t="n">
        <x:v>6500</x:v>
      </x:c>
    </x:row>
    <x:row r="24">
      <x:c r="A24" t="str">
        <x:v>O020</x:v>
      </x:c>
      <x:c r="B24" s="36" t="n">
        <x:v>46177</x:v>
      </x:c>
      <x:c r="C24" t="str">
        <x:v>West</x:v>
      </x:c>
      <x:c r="D24" t="str">
        <x:v>Electronics</x:v>
      </x:c>
      <x:c r="E24" t="str">
        <x:v>Printer</x:v>
      </x:c>
      <x:c r="F24" s="40" t="n">
        <x:v>6</x:v>
      </x:c>
      <x:c r="G24" s="38" t="n">
        <x:v>12000</x:v>
      </x:c>
      <x:c r="H24" s="38" t="n">
        <x:v>57000</x:v>
      </x:c>
      <x:c r="I24" s="38" t="n">
        <x:v>72000</x:v>
      </x:c>
      <x:c r="J24" t="str">
        <x:v>Cancelled</x:v>
      </x:c>
      <x:c r="K24" t="str">
        <x:v>Neha</x:v>
      </x:c>
      <x:c r="L24" s="38" t="n">
        <x:v>15000</x:v>
      </x:c>
    </x:row>
    <x:row r="25">
      <x:c r="A25" t="str">
        <x:v>O021</x:v>
      </x:c>
      <x:c r="B25" s="36" t="n">
        <x:v>46182</x:v>
      </x:c>
      <x:c r="C25" t="str">
        <x:v>North</x:v>
      </x:c>
      <x:c r="D25" t="str">
        <x:v>Electronics</x:v>
      </x:c>
      <x:c r="E25" t="str">
        <x:v>Laptop</x:v>
      </x:c>
      <x:c r="F25" s="40" t="n">
        <x:v>1</x:v>
      </x:c>
      <x:c r="G25" s="38" t="n">
        <x:v>55000</x:v>
      </x:c>
      <x:c r="H25" s="38" t="n">
        <x:v>47000</x:v>
      </x:c>
      <x:c r="I25" s="38" t="n">
        <x:v>55000</x:v>
      </x:c>
      <x:c r="J25" t="str">
        <x:v>Completed</x:v>
      </x:c>
      <x:c r="K25" t="str">
        <x:v>Aman</x:v>
      </x:c>
      <x:c r="L25" s="38" t="n">
        <x:v>8000</x:v>
      </x:c>
    </x:row>
    <x:row r="26">
      <x:c r="A26" t="str">
        <x:v>O022</x:v>
      </x:c>
      <x:c r="B26" s="36" t="n">
        <x:v>46187</x:v>
      </x:c>
      <x:c r="C26" t="str">
        <x:v>South</x:v>
      </x:c>
      <x:c r="D26" t="str">
        <x:v>Accessories</x:v>
      </x:c>
      <x:c r="E26" t="str">
        <x:v>Mouse</x:v>
      </x:c>
      <x:c r="F26" s="40" t="n">
        <x:v>2</x:v>
      </x:c>
      <x:c r="G26" s="38" t="n">
        <x:v>1200</x:v>
      </x:c>
      <x:c r="H26" s="38" t="n">
        <x:v>1400</x:v>
      </x:c>
      <x:c r="I26" s="38" t="n">
        <x:v>2400</x:v>
      </x:c>
      <x:c r="J26" t="str">
        <x:v>Pending</x:v>
      </x:c>
      <x:c r="K26" t="str">
        <x:v>Riya</x:v>
      </x:c>
      <x:c r="L26" s="38" t="n">
        <x:v>1000</x:v>
      </x:c>
    </x:row>
    <x:row r="27">
      <x:c r="A27" t="str">
        <x:v>O023</x:v>
      </x:c>
      <x:c r="B27" s="36" t="n">
        <x:v>46192</x:v>
      </x:c>
      <x:c r="C27" t="str">
        <x:v>East</x:v>
      </x:c>
      <x:c r="D27" t="str">
        <x:v>Accessories</x:v>
      </x:c>
      <x:c r="E27" t="str">
        <x:v>Keyboard</x:v>
      </x:c>
      <x:c r="F27" s="40" t="n">
        <x:v>3</x:v>
      </x:c>
      <x:c r="G27" s="38" t="n">
        <x:v>2500</x:v>
      </x:c>
      <x:c r="H27" s="38" t="n">
        <x:v>4500</x:v>
      </x:c>
      <x:c r="I27" s="38" t="n">
        <x:v>7500</x:v>
      </x:c>
      <x:c r="J27" t="str">
        <x:v>Cancelled</x:v>
      </x:c>
      <x:c r="K27" t="str">
        <x:v>Rahul</x:v>
      </x:c>
      <x:c r="L27" s="38" t="n">
        <x:v>3000</x:v>
      </x:c>
    </x:row>
    <x:row r="28">
      <x:c r="A28" t="str">
        <x:v>O024</x:v>
      </x:c>
      <x:c r="B28" s="36" t="n">
        <x:v>46197</x:v>
      </x:c>
      <x:c r="C28" t="str">
        <x:v>West</x:v>
      </x:c>
      <x:c r="D28" t="str">
        <x:v>Electronics</x:v>
      </x:c>
      <x:c r="E28" t="str">
        <x:v>Monitor</x:v>
      </x:c>
      <x:c r="F28" s="40" t="n">
        <x:v>4</x:v>
      </x:c>
      <x:c r="G28" s="38" t="n">
        <x:v>18000</x:v>
      </x:c>
      <x:c r="H28" s="38" t="n">
        <x:v>58000</x:v>
      </x:c>
      <x:c r="I28" s="38" t="n">
        <x:v>72000</x:v>
      </x:c>
      <x:c r="J28" t="str">
        <x:v>Completed</x:v>
      </x:c>
      <x:c r="K28" t="str">
        <x:v>Neha</x:v>
      </x:c>
      <x:c r="L28" s="38" t="n">
        <x:v>14000</x:v>
      </x:c>
    </x:row>
    <x:row r="29">
      <x:c r="A29" t="str">
        <x:v>O025</x:v>
      </x:c>
      <x:c r="B29" s="36" t="n">
        <x:v>46202</x:v>
      </x:c>
      <x:c r="C29" t="str">
        <x:v>North</x:v>
      </x:c>
      <x:c r="D29" t="str">
        <x:v>Accessories</x:v>
      </x:c>
      <x:c r="E29" t="str">
        <x:v>Headphones</x:v>
      </x:c>
      <x:c r="F29" s="40" t="n">
        <x:v>5</x:v>
      </x:c>
      <x:c r="G29" s="38" t="n">
        <x:v>3500</x:v>
      </x:c>
      <x:c r="H29" s="38" t="n">
        <x:v>11000</x:v>
      </x:c>
      <x:c r="I29" s="38" t="n">
        <x:v>17500</x:v>
      </x:c>
      <x:c r="J29" t="str">
        <x:v>Pending</x:v>
      </x:c>
      <x:c r="K29" t="str">
        <x:v>Aman</x:v>
      </x:c>
      <x:c r="L29" s="38" t="n">
        <x:v>6500</x:v>
      </x:c>
    </x:row>
    <x:row r="30">
      <x:c r="A30" t="str">
        <x:v>O026</x:v>
      </x:c>
      <x:c r="B30" s="36" t="n">
        <x:v>46207</x:v>
      </x:c>
      <x:c r="C30" t="str">
        <x:v>South</x:v>
      </x:c>
      <x:c r="D30" t="str">
        <x:v>Electronics</x:v>
      </x:c>
      <x:c r="E30" t="str">
        <x:v>Printer</x:v>
      </x:c>
      <x:c r="F30" s="40" t="n">
        <x:v>6</x:v>
      </x:c>
      <x:c r="G30" s="38" t="n">
        <x:v>12000</x:v>
      </x:c>
      <x:c r="H30" s="38" t="n">
        <x:v>57000</x:v>
      </x:c>
      <x:c r="I30" s="38" t="n">
        <x:v>72000</x:v>
      </x:c>
      <x:c r="J30" t="str">
        <x:v>Cancelled</x:v>
      </x:c>
      <x:c r="K30" t="str">
        <x:v>Riya</x:v>
      </x:c>
      <x:c r="L30" s="38" t="n">
        <x:v>15000</x:v>
      </x:c>
    </x:row>
    <x:row r="31">
      <x:c r="A31" t="str">
        <x:v>O027</x:v>
      </x:c>
      <x:c r="B31" s="36" t="n">
        <x:v>46212</x:v>
      </x:c>
      <x:c r="C31" t="str">
        <x:v>East</x:v>
      </x:c>
      <x:c r="D31" t="str">
        <x:v>Electronics</x:v>
      </x:c>
      <x:c r="E31" t="str">
        <x:v>Laptop</x:v>
      </x:c>
      <x:c r="F31" s="40" t="n">
        <x:v>1</x:v>
      </x:c>
      <x:c r="G31" s="38" t="n">
        <x:v>55000</x:v>
      </x:c>
      <x:c r="H31" s="38" t="n">
        <x:v>47000</x:v>
      </x:c>
      <x:c r="I31" s="38" t="n">
        <x:v>55000</x:v>
      </x:c>
      <x:c r="J31" t="str">
        <x:v>Completed</x:v>
      </x:c>
      <x:c r="K31" t="str">
        <x:v>Rahul</x:v>
      </x:c>
      <x:c r="L31" s="38" t="n">
        <x:v>8000</x:v>
      </x:c>
    </x:row>
    <x:row r="32">
      <x:c r="A32" t="str">
        <x:v>O028</x:v>
      </x:c>
      <x:c r="B32" s="36" t="n">
        <x:v>46217</x:v>
      </x:c>
      <x:c r="C32" t="str">
        <x:v>West</x:v>
      </x:c>
      <x:c r="D32" t="str">
        <x:v>Accessories</x:v>
      </x:c>
      <x:c r="E32" t="str">
        <x:v>Mouse</x:v>
      </x:c>
      <x:c r="F32" s="40" t="n">
        <x:v>2</x:v>
      </x:c>
      <x:c r="G32" s="38" t="n">
        <x:v>1200</x:v>
      </x:c>
      <x:c r="H32" s="38" t="n">
        <x:v>1400</x:v>
      </x:c>
      <x:c r="I32" s="38" t="n">
        <x:v>2400</x:v>
      </x:c>
      <x:c r="J32" t="str">
        <x:v>Pending</x:v>
      </x:c>
      <x:c r="K32" t="str">
        <x:v>Neha</x:v>
      </x:c>
      <x:c r="L32" s="38" t="n">
        <x:v>1000</x:v>
      </x:c>
    </x:row>
    <x:row r="33">
      <x:c r="A33" t="str">
        <x:v>O029</x:v>
      </x:c>
      <x:c r="B33" s="36" t="n">
        <x:v>46222</x:v>
      </x:c>
      <x:c r="C33" t="str">
        <x:v>North</x:v>
      </x:c>
      <x:c r="D33" t="str">
        <x:v>Accessories</x:v>
      </x:c>
      <x:c r="E33" t="str">
        <x:v>Keyboard</x:v>
      </x:c>
      <x:c r="F33" s="40" t="n">
        <x:v>3</x:v>
      </x:c>
      <x:c r="G33" s="38" t="n">
        <x:v>2500</x:v>
      </x:c>
      <x:c r="H33" s="38" t="n">
        <x:v>4500</x:v>
      </x:c>
      <x:c r="I33" s="38" t="n">
        <x:v>7500</x:v>
      </x:c>
      <x:c r="J33" t="str">
        <x:v>Cancelled</x:v>
      </x:c>
      <x:c r="K33" t="str">
        <x:v>Aman</x:v>
      </x:c>
      <x:c r="L33" s="38" t="n">
        <x:v>3000</x:v>
      </x:c>
    </x:row>
    <x:row r="34">
      <x:c r="A34" t="str">
        <x:v>O030</x:v>
      </x:c>
      <x:c r="B34" s="36" t="n">
        <x:v>46227</x:v>
      </x:c>
      <x:c r="C34" t="str">
        <x:v>South</x:v>
      </x:c>
      <x:c r="D34" t="str">
        <x:v>Electronics</x:v>
      </x:c>
      <x:c r="E34" t="str">
        <x:v>Monitor</x:v>
      </x:c>
      <x:c r="F34" s="40" t="n">
        <x:v>4</x:v>
      </x:c>
      <x:c r="G34" s="38" t="n">
        <x:v>18000</x:v>
      </x:c>
      <x:c r="H34" s="38" t="n">
        <x:v>58000</x:v>
      </x:c>
      <x:c r="I34" s="38" t="n">
        <x:v>72000</x:v>
      </x:c>
      <x:c r="J34" t="str">
        <x:v>Completed</x:v>
      </x:c>
      <x:c r="K34" t="str">
        <x:v>Riya</x:v>
      </x:c>
      <x:c r="L34" s="38" t="n">
        <x:v>14000</x:v>
      </x:c>
    </x:row>
    <x:row r="35">
      <x:c r="A35" t="str">
        <x:v>O031</x:v>
      </x:c>
      <x:c r="B35" s="36" t="n">
        <x:v>46232</x:v>
      </x:c>
      <x:c r="C35" t="str">
        <x:v>East</x:v>
      </x:c>
      <x:c r="D35" t="str">
        <x:v>Accessories</x:v>
      </x:c>
      <x:c r="E35" t="str">
        <x:v>Headphones</x:v>
      </x:c>
      <x:c r="F35" s="40" t="n">
        <x:v>5</x:v>
      </x:c>
      <x:c r="G35" s="38" t="n">
        <x:v>3500</x:v>
      </x:c>
      <x:c r="H35" s="38" t="n">
        <x:v>11000</x:v>
      </x:c>
      <x:c r="I35" s="38" t="n">
        <x:v>17500</x:v>
      </x:c>
      <x:c r="J35" t="str">
        <x:v>Pending</x:v>
      </x:c>
      <x:c r="K35" t="str">
        <x:v>Rahul</x:v>
      </x:c>
      <x:c r="L35" s="38" t="n">
        <x:v>6500</x:v>
      </x:c>
    </x:row>
    <x:row r="36">
      <x:c r="A36" t="str">
        <x:v>O032</x:v>
      </x:c>
      <x:c r="B36" s="36" t="n">
        <x:v>46237</x:v>
      </x:c>
      <x:c r="C36" t="str">
        <x:v>West</x:v>
      </x:c>
      <x:c r="D36" t="str">
        <x:v>Electronics</x:v>
      </x:c>
      <x:c r="E36" t="str">
        <x:v>Printer</x:v>
      </x:c>
      <x:c r="F36" s="40" t="n">
        <x:v>6</x:v>
      </x:c>
      <x:c r="G36" s="38" t="n">
        <x:v>12000</x:v>
      </x:c>
      <x:c r="H36" s="38" t="n">
        <x:v>57000</x:v>
      </x:c>
      <x:c r="I36" s="38" t="n">
        <x:v>72000</x:v>
      </x:c>
      <x:c r="J36" t="str">
        <x:v>Cancelled</x:v>
      </x:c>
      <x:c r="K36" t="str">
        <x:v>Neha</x:v>
      </x:c>
      <x:c r="L36" s="38" t="n">
        <x:v>15000</x:v>
      </x:c>
    </x:row>
    <x:row r="37">
      <x:c r="A37" t="str">
        <x:v>O033</x:v>
      </x:c>
      <x:c r="B37" s="36" t="n">
        <x:v>46242</x:v>
      </x:c>
      <x:c r="C37" t="str">
        <x:v>North</x:v>
      </x:c>
      <x:c r="D37" t="str">
        <x:v>Electronics</x:v>
      </x:c>
      <x:c r="E37" t="str">
        <x:v>Laptop</x:v>
      </x:c>
      <x:c r="F37" s="40" t="n">
        <x:v>1</x:v>
      </x:c>
      <x:c r="G37" s="38" t="n">
        <x:v>55000</x:v>
      </x:c>
      <x:c r="H37" s="38" t="n">
        <x:v>47000</x:v>
      </x:c>
      <x:c r="I37" s="38" t="n">
        <x:v>55000</x:v>
      </x:c>
      <x:c r="J37" t="str">
        <x:v>Completed</x:v>
      </x:c>
      <x:c r="K37" t="str">
        <x:v>Aman</x:v>
      </x:c>
      <x:c r="L37" s="38" t="n">
        <x:v>8000</x:v>
      </x:c>
    </x:row>
    <x:row r="38">
      <x:c r="A38" t="str">
        <x:v>O034</x:v>
      </x:c>
      <x:c r="B38" s="36" t="n">
        <x:v>46247</x:v>
      </x:c>
      <x:c r="C38" t="str">
        <x:v>South</x:v>
      </x:c>
      <x:c r="D38" t="str">
        <x:v>Accessories</x:v>
      </x:c>
      <x:c r="E38" t="str">
        <x:v>Mouse</x:v>
      </x:c>
      <x:c r="F38" s="40" t="n">
        <x:v>2</x:v>
      </x:c>
      <x:c r="G38" s="38" t="n">
        <x:v>1200</x:v>
      </x:c>
      <x:c r="H38" s="38" t="n">
        <x:v>1400</x:v>
      </x:c>
      <x:c r="I38" s="38" t="n">
        <x:v>2400</x:v>
      </x:c>
      <x:c r="J38" t="str">
        <x:v>Pending</x:v>
      </x:c>
      <x:c r="K38" t="str">
        <x:v>Riya</x:v>
      </x:c>
      <x:c r="L38" s="38" t="n">
        <x:v>1000</x:v>
      </x:c>
    </x:row>
    <x:row r="39">
      <x:c r="A39" t="str">
        <x:v>O035</x:v>
      </x:c>
      <x:c r="B39" s="36" t="n">
        <x:v>46252</x:v>
      </x:c>
      <x:c r="C39" t="str">
        <x:v>East</x:v>
      </x:c>
      <x:c r="D39" t="str">
        <x:v>Accessories</x:v>
      </x:c>
      <x:c r="E39" t="str">
        <x:v>Keyboard</x:v>
      </x:c>
      <x:c r="F39" s="40" t="n">
        <x:v>3</x:v>
      </x:c>
      <x:c r="G39" s="38" t="n">
        <x:v>2500</x:v>
      </x:c>
      <x:c r="H39" s="38" t="n">
        <x:v>4500</x:v>
      </x:c>
      <x:c r="I39" s="38" t="n">
        <x:v>7500</x:v>
      </x:c>
      <x:c r="J39" t="str">
        <x:v>Cancelled</x:v>
      </x:c>
      <x:c r="K39" t="str">
        <x:v>Rahul</x:v>
      </x:c>
      <x:c r="L39" s="38" t="n">
        <x:v>3000</x:v>
      </x:c>
    </x:row>
    <x:row r="40">
      <x:c r="A40" t="str">
        <x:v>O036</x:v>
      </x:c>
      <x:c r="B40" s="36" t="n">
        <x:v>46257</x:v>
      </x:c>
      <x:c r="C40" t="str">
        <x:v>West</x:v>
      </x:c>
      <x:c r="D40" t="str">
        <x:v>Electronics</x:v>
      </x:c>
      <x:c r="E40" t="str">
        <x:v>Monitor</x:v>
      </x:c>
      <x:c r="F40" s="40" t="n">
        <x:v>4</x:v>
      </x:c>
      <x:c r="G40" s="38" t="n">
        <x:v>18000</x:v>
      </x:c>
      <x:c r="H40" s="38" t="n">
        <x:v>58000</x:v>
      </x:c>
      <x:c r="I40" s="38" t="n">
        <x:v>72000</x:v>
      </x:c>
      <x:c r="J40" t="str">
        <x:v>Completed</x:v>
      </x:c>
      <x:c r="K40" t="str">
        <x:v>Neha</x:v>
      </x:c>
      <x:c r="L40" s="38" t="n">
        <x:v>14000</x:v>
      </x:c>
    </x:row>
    <x:row r="41">
      <x:c r="A41" t="str">
        <x:v>O037</x:v>
      </x:c>
      <x:c r="B41" s="36" t="n">
        <x:v>46262</x:v>
      </x:c>
      <x:c r="C41" t="str">
        <x:v>North</x:v>
      </x:c>
      <x:c r="D41" t="str">
        <x:v>Accessories</x:v>
      </x:c>
      <x:c r="E41" t="str">
        <x:v>Headphones</x:v>
      </x:c>
      <x:c r="F41" s="40" t="n">
        <x:v>5</x:v>
      </x:c>
      <x:c r="G41" s="38" t="n">
        <x:v>3500</x:v>
      </x:c>
      <x:c r="H41" s="38" t="n">
        <x:v>11000</x:v>
      </x:c>
      <x:c r="I41" s="38" t="n">
        <x:v>17500</x:v>
      </x:c>
      <x:c r="J41" t="str">
        <x:v>Pending</x:v>
      </x:c>
      <x:c r="K41" t="str">
        <x:v>Aman</x:v>
      </x:c>
      <x:c r="L41" s="38" t="n">
        <x:v>6500</x:v>
      </x:c>
    </x:row>
    <x:row r="42">
      <x:c r="A42" t="str">
        <x:v>O038</x:v>
      </x:c>
      <x:c r="B42" s="36" t="n">
        <x:v>46267</x:v>
      </x:c>
      <x:c r="C42" t="str">
        <x:v>South</x:v>
      </x:c>
      <x:c r="D42" t="str">
        <x:v>Electronics</x:v>
      </x:c>
      <x:c r="E42" t="str">
        <x:v>Printer</x:v>
      </x:c>
      <x:c r="F42" s="40" t="n">
        <x:v>6</x:v>
      </x:c>
      <x:c r="G42" s="38" t="n">
        <x:v>12000</x:v>
      </x:c>
      <x:c r="H42" s="38" t="n">
        <x:v>57000</x:v>
      </x:c>
      <x:c r="I42" s="38" t="n">
        <x:v>72000</x:v>
      </x:c>
      <x:c r="J42" t="str">
        <x:v>Cancelled</x:v>
      </x:c>
      <x:c r="K42" t="str">
        <x:v>Riya</x:v>
      </x:c>
      <x:c r="L42" s="38" t="n">
        <x:v>15000</x:v>
      </x:c>
    </x:row>
    <x:row r="43">
      <x:c r="A43" t="str">
        <x:v>O039</x:v>
      </x:c>
      <x:c r="B43" s="36" t="n">
        <x:v>46272</x:v>
      </x:c>
      <x:c r="C43" t="str">
        <x:v>East</x:v>
      </x:c>
      <x:c r="D43" t="str">
        <x:v>Electronics</x:v>
      </x:c>
      <x:c r="E43" t="str">
        <x:v>Laptop</x:v>
      </x:c>
      <x:c r="F43" s="40" t="n">
        <x:v>1</x:v>
      </x:c>
      <x:c r="G43" s="38" t="n">
        <x:v>55000</x:v>
      </x:c>
      <x:c r="H43" s="38" t="n">
        <x:v>47000</x:v>
      </x:c>
      <x:c r="I43" s="38" t="n">
        <x:v>55000</x:v>
      </x:c>
      <x:c r="J43" t="str">
        <x:v>Completed</x:v>
      </x:c>
      <x:c r="K43" t="str">
        <x:v>Rahul</x:v>
      </x:c>
      <x:c r="L43" s="38" t="n">
        <x:v>8000</x:v>
      </x:c>
    </x:row>
    <x:row r="44">
      <x:c r="A44" t="str">
        <x:v>O040</x:v>
      </x:c>
      <x:c r="B44" s="36" t="n">
        <x:v>46277</x:v>
      </x:c>
      <x:c r="C44" t="str">
        <x:v>West</x:v>
      </x:c>
      <x:c r="D44" t="str">
        <x:v>Accessories</x:v>
      </x:c>
      <x:c r="E44" t="str">
        <x:v>Mouse</x:v>
      </x:c>
      <x:c r="F44" s="40" t="n">
        <x:v>2</x:v>
      </x:c>
      <x:c r="G44" s="38" t="n">
        <x:v>1200</x:v>
      </x:c>
      <x:c r="H44" s="38" t="n">
        <x:v>1400</x:v>
      </x:c>
      <x:c r="I44" s="38" t="n">
        <x:v>2400</x:v>
      </x:c>
      <x:c r="J44" t="str">
        <x:v>Pending</x:v>
      </x:c>
      <x:c r="K44" t="str">
        <x:v>Neha</x:v>
      </x:c>
      <x:c r="L44" s="38" t="n">
        <x:v>1000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bb159d685fd43d7"/>
  </x:tableParts>
</x:worksheet>
</file>

<file path=xl/worksheets/sheet3.xml><?xml version="1.0" encoding="utf-8"?>
<x:worksheet xmlns:x="http://schemas.openxmlformats.org/spreadsheetml/2006/main">
  <x:sheetFormatPr defaultRowHeight="15"/>
  <x:sheetData>
    <x:row r="1" ht="28" customHeight="1">
      <x:c r="A1" s="5" t="str">
        <x:v>Monthly Revenue Summary</x:v>
      </x:c>
    </x:row>
    <x:row r="2" ht="24" customHeight="1">
      <x:c r="A2" s="18" t="str">
        <x:v>Formula summary designed as a chart source.</x:v>
      </x:c>
    </x:row>
    <x:row r="4">
      <x:c r="A4" s="24" t="str">
        <x:v>Month</x:v>
      </x:c>
      <x:c r="B4" s="24" t="str">
        <x:v>Revenue</x:v>
      </x:c>
    </x:row>
    <x:row r="5">
      <x:c r="A5" s="42" t="n">
        <x:v>46023</x:v>
      </x:c>
      <x:c r="B5" s="38" t="e">
        <x:f>SUMPRODUCT((MONTH(Sales_Data!$B$5:$B$44)=MONTH(A5))*(YEAR(Sales_Data!$B$5:$B$44)=YEAR(A5))*Sales_Data!$I$5:$I$44)</x:f>
        <x:v>#VALUE!</x:v>
      </x:c>
    </x:row>
    <x:row r="6">
      <x:c r="A6" s="42" t="n">
        <x:v>46054</x:v>
      </x:c>
      <x:c r="B6" s="38" t="e">
        <x:f>SUMPRODUCT((MONTH(Sales_Data!$B$5:$B$44)=MONTH(A6))*(YEAR(Sales_Data!$B$5:$B$44)=YEAR(A6))*Sales_Data!$I$5:$I$44)</x:f>
        <x:v>#VALUE!</x:v>
      </x:c>
    </x:row>
    <x:row r="7">
      <x:c r="A7" s="42" t="n">
        <x:v>46082</x:v>
      </x:c>
      <x:c r="B7" s="38" t="e">
        <x:f>SUMPRODUCT((MONTH(Sales_Data!$B$5:$B$44)=MONTH(A7))*(YEAR(Sales_Data!$B$5:$B$44)=YEAR(A7))*Sales_Data!$I$5:$I$44)</x:f>
        <x:v>#VALUE!</x:v>
      </x:c>
    </x:row>
    <x:row r="8">
      <x:c r="A8" s="42" t="n">
        <x:v>46113</x:v>
      </x:c>
      <x:c r="B8" s="38" t="e">
        <x:f>SUMPRODUCT((MONTH(Sales_Data!$B$5:$B$44)=MONTH(A8))*(YEAR(Sales_Data!$B$5:$B$44)=YEAR(A8))*Sales_Data!$I$5:$I$44)</x:f>
        <x:v>#VALUE!</x:v>
      </x:c>
    </x:row>
    <x:row r="9">
      <x:c r="A9" s="42" t="n">
        <x:v>46143</x:v>
      </x:c>
      <x:c r="B9" s="38" t="e">
        <x:f>SUMPRODUCT((MONTH(Sales_Data!$B$5:$B$44)=MONTH(A9))*(YEAR(Sales_Data!$B$5:$B$44)=YEAR(A9))*Sales_Data!$I$5:$I$44)</x:f>
        <x:v>#VALUE!</x:v>
      </x:c>
    </x:row>
    <x:row r="10">
      <x:c r="A10" s="42" t="n">
        <x:v>46174</x:v>
      </x:c>
      <x:c r="B10" s="38" t="e">
        <x:f>SUMPRODUCT((MONTH(Sales_Data!$B$5:$B$44)=MONTH(A10))*(YEAR(Sales_Data!$B$5:$B$44)=YEAR(A10))*Sales_Data!$I$5:$I$44)</x:f>
        <x:v>#VALUE!</x:v>
      </x:c>
    </x:row>
    <x:row r="11">
      <x:c r="A11" s="42" t="n">
        <x:v>46204</x:v>
      </x:c>
      <x:c r="B11" s="38" t="e">
        <x:f>SUMPRODUCT((MONTH(Sales_Data!$B$5:$B$44)=MONTH(A11))*(YEAR(Sales_Data!$B$5:$B$44)=YEAR(A11))*Sales_Data!$I$5:$I$44)</x:f>
        <x:v>#VALUE!</x:v>
      </x:c>
    </x:row>
    <x:row r="12">
      <x:c r="A12" s="42" t="n">
        <x:v>46235</x:v>
      </x:c>
      <x:c r="B12" s="38" t="e">
        <x:f>SUMPRODUCT((MONTH(Sales_Data!$B$5:$B$44)=MONTH(A12))*(YEAR(Sales_Data!$B$5:$B$44)=YEAR(A12))*Sales_Data!$I$5:$I$44)</x:f>
        <x:v>#VALUE!</x:v>
      </x:c>
    </x:row>
    <x:row r="13">
      <x:c r="A13" s="42" t="n">
        <x:v>46266</x:v>
      </x:c>
      <x:c r="B13" s="38" t="e">
        <x:f>SUMPRODUCT((MONTH(Sales_Data!$B$5:$B$44)=MONTH(A13))*(YEAR(Sales_Data!$B$5:$B$44)=YEAR(A13))*Sales_Data!$I$5:$I$44)</x:f>
        <x:v>#VALUE!</x:v>
      </x:c>
    </x:row>
    <x:row r="14">
      <x:c r="A14" s="42" t="n">
        <x:v>46296</x:v>
      </x:c>
      <x:c r="B14" s="38" t="e">
        <x:f>SUMPRODUCT((MONTH(Sales_Data!$B$5:$B$44)=MONTH(A14))*(YEAR(Sales_Data!$B$5:$B$44)=YEAR(A14))*Sales_Data!$I$5:$I$44)</x:f>
        <x:v>#VALUE!</x:v>
      </x:c>
    </x:row>
    <x:row r="15">
      <x:c r="A15" s="42" t="n">
        <x:v>46327</x:v>
      </x:c>
      <x:c r="B15" s="38" t="e">
        <x:f>SUMPRODUCT((MONTH(Sales_Data!$B$5:$B$44)=MONTH(A15))*(YEAR(Sales_Data!$B$5:$B$44)=YEAR(A15))*Sales_Data!$I$5:$I$44)</x:f>
        <x:v>#VALUE!</x:v>
      </x:c>
    </x:row>
    <x:row r="16">
      <x:c r="A16" s="42" t="n">
        <x:v>46357</x:v>
      </x:c>
      <x:c r="B16" s="38" t="e">
        <x:f>SUMPRODUCT((MONTH(Sales_Data!$B$5:$B$44)=MONTH(A16))*(YEAR(Sales_Data!$B$5:$B$44)=YEAR(A16))*Sales_Data!$I$5:$I$44)</x:f>
        <x:v>#VALUE!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 ht="28" customHeight="1">
      <x:c r="A1" s="5" t="str">
        <x:v>Revenue by Region</x:v>
      </x:c>
    </x:row>
    <x:row r="2" ht="24" customHeight="1">
      <x:c r="A2" s="18" t="str">
        <x:v>Chart source for region comparison.</x:v>
      </x:c>
    </x:row>
    <x:row r="4">
      <x:c r="A4" s="24" t="str">
        <x:v>Region</x:v>
      </x:c>
      <x:c r="B4" s="24" t="str">
        <x:v>Revenue</x:v>
      </x:c>
    </x:row>
    <x:row r="5">
      <x:c r="A5" t="str">
        <x:v>North</x:v>
      </x:c>
      <x:c r="B5" s="38" t="n">
        <x:f>SUMIF(Sales_Data!$C$5:$C$44,A5,Sales_Data!$I$5:$I$44)</x:f>
        <x:v>362000</x:v>
      </x:c>
    </x:row>
    <x:row r="6">
      <x:c r="A6" t="str">
        <x:v>South</x:v>
      </x:c>
      <x:c r="B6" s="38" t="n">
        <x:f>SUMIF(Sales_Data!$C$5:$C$44,A6,Sales_Data!$I$5:$I$44)</x:f>
        <x:v>409200</x:v>
      </x:c>
    </x:row>
    <x:row r="7">
      <x:c r="A7" t="str">
        <x:v>East</x:v>
      </x:c>
      <x:c r="B7" s="38" t="n">
        <x:f>SUMIF(Sales_Data!$C$5:$C$44,A7,Sales_Data!$I$5:$I$44)</x:f>
        <x:v>332500</x:v>
      </x:c>
    </x:row>
    <x:row r="8">
      <x:c r="A8" t="str">
        <x:v>West</x:v>
      </x:c>
      <x:c r="B8" s="38" t="n">
        <x:f>SUMIF(Sales_Data!$C$5:$C$44,A8,Sales_Data!$I$5:$I$44)</x:f>
        <x:v>432200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 ht="28" customHeight="1">
      <x:c r="A1" s="5" t="str">
        <x:v>Day 9 Chart Lab</x:v>
      </x:c>
    </x:row>
    <x:row r="2" ht="24" customHeight="1">
      <x:c r="A2" s="18" t="str">
        <x:v>Use these source tables to create polished charts in Excel.</x:v>
      </x:c>
    </x:row>
    <x:row r="4">
      <x:c r="A4" t="str">
        <x:v>Month</x:v>
      </x:c>
      <x:c r="B4" t="str">
        <x:v>Revenue</x:v>
      </x:c>
      <x:c r="D4" t="str">
        <x:v>Region</x:v>
      </x:c>
      <x:c r="E4" t="str">
        <x:v>Revenue</x:v>
      </x:c>
    </x:row>
    <x:row r="5">
      <x:c r="A5" t="n">
        <x:v>46023</x:v>
      </x:c>
      <x:c r="B5" t="str">
        <x:v>#VALUE!</x:v>
      </x:c>
      <x:c r="D5" t="str">
        <x:v>North</x:v>
      </x:c>
      <x:c r="E5" t="n">
        <x:v>362000</x:v>
      </x:c>
    </x:row>
    <x:row r="6">
      <x:c r="A6" t="n">
        <x:v>46054</x:v>
      </x:c>
      <x:c r="B6" t="str">
        <x:v>#VALUE!</x:v>
      </x:c>
      <x:c r="D6" t="str">
        <x:v>South</x:v>
      </x:c>
      <x:c r="E6" t="n">
        <x:v>409200</x:v>
      </x:c>
    </x:row>
    <x:row r="7">
      <x:c r="A7" t="n">
        <x:v>46082</x:v>
      </x:c>
      <x:c r="B7" t="str">
        <x:v>#VALUE!</x:v>
      </x:c>
      <x:c r="D7" t="str">
        <x:v>East</x:v>
      </x:c>
      <x:c r="E7" t="n">
        <x:v>332500</x:v>
      </x:c>
    </x:row>
    <x:row r="8">
      <x:c r="A8" t="n">
        <x:v>46113</x:v>
      </x:c>
      <x:c r="B8" t="str">
        <x:v>#VALUE!</x:v>
      </x:c>
      <x:c r="D8" t="str">
        <x:v>West</x:v>
      </x:c>
      <x:c r="E8" t="n">
        <x:v>432200</x:v>
      </x:c>
    </x:row>
    <x:row r="9">
      <x:c r="A9" t="n">
        <x:v>46143</x:v>
      </x:c>
      <x:c r="B9" t="str">
        <x:v>#VALUE!</x:v>
      </x:c>
    </x:row>
    <x:row r="10">
      <x:c r="A10" t="n">
        <x:v>46174</x:v>
      </x:c>
      <x:c r="B10" t="str">
        <x:v>#VALUE!</x:v>
      </x:c>
    </x:row>
    <x:row r="11">
      <x:c r="A11" t="n">
        <x:v>46204</x:v>
      </x:c>
      <x:c r="B11" t="str">
        <x:v>#VALUE!</x:v>
      </x:c>
    </x:row>
    <x:row r="12">
      <x:c r="A12" t="n">
        <x:v>46235</x:v>
      </x:c>
      <x:c r="B12" t="str">
        <x:v>#VALUE!</x:v>
      </x:c>
    </x:row>
    <x:row r="13">
      <x:c r="A13" t="n">
        <x:v>46266</x:v>
      </x:c>
      <x:c r="B13" t="str">
        <x:v>#VALUE!</x:v>
      </x:c>
    </x:row>
    <x:row r="14">
      <x:c r="A14" t="n">
        <x:v>46296</x:v>
      </x:c>
      <x:c r="B14" t="str">
        <x:v>#VALUE!</x:v>
      </x:c>
    </x:row>
    <x:row r="15">
      <x:c r="A15" t="n">
        <x:v>46327</x:v>
      </x:c>
      <x:c r="B15" t="str">
        <x:v>#VALUE!</x:v>
      </x:c>
    </x:row>
    <x:row r="16">
      <x:c r="A16" t="n">
        <x:v>46357</x:v>
      </x:c>
      <x:c r="B16" t="str">
        <x:v>#VALUE!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77ff2f38745944a1"/>
</x:worksheet>
</file>