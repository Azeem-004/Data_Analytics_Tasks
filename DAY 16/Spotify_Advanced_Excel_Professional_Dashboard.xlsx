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0a93aaaafc8cf9/Desktop/spotify/"/>
    </mc:Choice>
  </mc:AlternateContent>
  <xr:revisionPtr revIDLastSave="0" documentId="8_{1390115D-3BCB-4108-AB39-864576666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Raw Data" sheetId="2" r:id="rId2"/>
    <sheet name="Analysis" sheetId="3" r:id="rId3"/>
    <sheet name="Source &amp; Notes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9" i="3"/>
  <c r="T8" i="3"/>
  <c r="B8" i="3"/>
  <c r="X7" i="3"/>
  <c r="T7" i="3"/>
  <c r="B7" i="3"/>
  <c r="X6" i="3"/>
  <c r="T6" i="3"/>
  <c r="B6" i="3"/>
  <c r="X5" i="3"/>
  <c r="E10" i="1" s="1"/>
  <c r="T5" i="3"/>
  <c r="B5" i="3"/>
  <c r="X4" i="3"/>
  <c r="K5" i="1" s="1"/>
  <c r="T4" i="3"/>
  <c r="B4" i="3"/>
  <c r="X3" i="3"/>
  <c r="H5" i="1" s="1"/>
  <c r="T3" i="3"/>
  <c r="B3" i="3"/>
  <c r="X2" i="3"/>
  <c r="T2" i="3"/>
  <c r="B2" i="3"/>
  <c r="K10" i="1"/>
  <c r="H10" i="1"/>
  <c r="E5" i="1"/>
</calcChain>
</file>

<file path=xl/sharedStrings.xml><?xml version="1.0" encoding="utf-8"?>
<sst xmlns="http://schemas.openxmlformats.org/spreadsheetml/2006/main" count="340" uniqueCount="205">
  <si>
    <t>TOTAL TRACKS</t>
  </si>
  <si>
    <t>AVG POPULARITY</t>
  </si>
  <si>
    <t>AVG ENERGY</t>
  </si>
  <si>
    <t>SELECT GENRE</t>
  </si>
  <si>
    <t>All</t>
  </si>
  <si>
    <t>AVG DANCEABILITY</t>
  </si>
  <si>
    <t>AVG BPM</t>
  </si>
  <si>
    <t>AVG VALENCE</t>
  </si>
  <si>
    <t>GENRE MIX</t>
  </si>
  <si>
    <t>GENRE LANDSCAPE</t>
  </si>
  <si>
    <t>RELEASE TREND</t>
  </si>
  <si>
    <t>AUDIO PROFILE</t>
  </si>
  <si>
    <t>ARTIST &amp; POPULARITY DISTRIBUTION</t>
  </si>
  <si>
    <t>Index</t>
  </si>
  <si>
    <t>Title</t>
  </si>
  <si>
    <t>Artist</t>
  </si>
  <si>
    <t>Top Genre</t>
  </si>
  <si>
    <t>Year</t>
  </si>
  <si>
    <t>Beats Per Minute (BPM)</t>
  </si>
  <si>
    <t>Energy</t>
  </si>
  <si>
    <t>Danceability</t>
  </si>
  <si>
    <t>Loudness (dB)</t>
  </si>
  <si>
    <t>Liveness</t>
  </si>
  <si>
    <t>Valence</t>
  </si>
  <si>
    <t>Length (Duration)</t>
  </si>
  <si>
    <t>Acousticness</t>
  </si>
  <si>
    <t>Speechiness</t>
  </si>
  <si>
    <t>Popularity</t>
  </si>
  <si>
    <t>Sunrise</t>
  </si>
  <si>
    <t>Norah Jones</t>
  </si>
  <si>
    <t>adult standards</t>
  </si>
  <si>
    <t>Black Night</t>
  </si>
  <si>
    <t>Deep Purple</t>
  </si>
  <si>
    <t>album rock</t>
  </si>
  <si>
    <t>Clint Eastwood</t>
  </si>
  <si>
    <t>Gorillaz</t>
  </si>
  <si>
    <t>alternative hip hop</t>
  </si>
  <si>
    <t>The Pretender</t>
  </si>
  <si>
    <t>Foo Fighters</t>
  </si>
  <si>
    <t>alternative metal</t>
  </si>
  <si>
    <t>Waitin' On A Sunny Day</t>
  </si>
  <si>
    <t>Bruce Springsteen</t>
  </si>
  <si>
    <t>classic rock</t>
  </si>
  <si>
    <t>The Road Ahead (Miles Of The Unknown)</t>
  </si>
  <si>
    <t>City To City</t>
  </si>
  <si>
    <t>alternative pop rock</t>
  </si>
  <si>
    <t>She Will Be Loved</t>
  </si>
  <si>
    <t>Maroon 5</t>
  </si>
  <si>
    <t>pop</t>
  </si>
  <si>
    <t>Knights of Cydonia</t>
  </si>
  <si>
    <t>Muse</t>
  </si>
  <si>
    <t>modern rock</t>
  </si>
  <si>
    <t>Mr. Brightside</t>
  </si>
  <si>
    <t>The Killers</t>
  </si>
  <si>
    <t>Without Me</t>
  </si>
  <si>
    <t>Eminem</t>
  </si>
  <si>
    <t>detroit hip hop</t>
  </si>
  <si>
    <t>Love Me Tender</t>
  </si>
  <si>
    <t>Elvis Presley</t>
  </si>
  <si>
    <t>Seven Nation Army</t>
  </si>
  <si>
    <t>The White Stripes</t>
  </si>
  <si>
    <t>alternative rock</t>
  </si>
  <si>
    <t>Als Het Golft</t>
  </si>
  <si>
    <t>De Dijk</t>
  </si>
  <si>
    <t>dutch indie</t>
  </si>
  <si>
    <t>I'm going home</t>
  </si>
  <si>
    <t>Ten Years After</t>
  </si>
  <si>
    <t>Fluorescent Adolescent</t>
  </si>
  <si>
    <t>Arctic Monkeys</t>
  </si>
  <si>
    <t>garage rock</t>
  </si>
  <si>
    <t>Zonder Jou</t>
  </si>
  <si>
    <t>Paul de Leeuw</t>
  </si>
  <si>
    <t>dutch cabaret</t>
  </si>
  <si>
    <t>Speed of Sound</t>
  </si>
  <si>
    <t>Coldplay</t>
  </si>
  <si>
    <t>permanent wave</t>
  </si>
  <si>
    <t>Uninvited</t>
  </si>
  <si>
    <t>Alanis Morissette</t>
  </si>
  <si>
    <t>Music</t>
  </si>
  <si>
    <t>John Miles</t>
  </si>
  <si>
    <t>classic uk pop</t>
  </si>
  <si>
    <t>Cry Me a River</t>
  </si>
  <si>
    <t>Justin Timberlake</t>
  </si>
  <si>
    <t>dance pop</t>
  </si>
  <si>
    <t>Fix You</t>
  </si>
  <si>
    <t>The Cave</t>
  </si>
  <si>
    <t>Mumford &amp; Sons</t>
  </si>
  <si>
    <t>modern folk rock</t>
  </si>
  <si>
    <t>Als De Morgen Is Gekomen</t>
  </si>
  <si>
    <t>Jan Smit</t>
  </si>
  <si>
    <t>dutch pop</t>
  </si>
  <si>
    <t>Somebody Told Me</t>
  </si>
  <si>
    <t>Dichterbij Dan Ooit</t>
  </si>
  <si>
    <t>BLØF</t>
  </si>
  <si>
    <t>Miracle</t>
  </si>
  <si>
    <t>Ilse DeLange</t>
  </si>
  <si>
    <t>dutch americana</t>
  </si>
  <si>
    <t>Smokers Outside the Hospital Doors</t>
  </si>
  <si>
    <t>Editors</t>
  </si>
  <si>
    <t>alternative dance</t>
  </si>
  <si>
    <t>Cleanin' Out My Closet</t>
  </si>
  <si>
    <t>Der Weg</t>
  </si>
  <si>
    <t>Herbert Grönemeyer</t>
  </si>
  <si>
    <t>german pop</t>
  </si>
  <si>
    <t>7 Seconds (feat. Neneh Cherry)</t>
  </si>
  <si>
    <t>Youssou N'Dour</t>
  </si>
  <si>
    <t>afropop</t>
  </si>
  <si>
    <t>The Scientist</t>
  </si>
  <si>
    <t>Big Log - 2006 Remaster</t>
  </si>
  <si>
    <t>Robert Plant</t>
  </si>
  <si>
    <t>Chasing Pavements</t>
  </si>
  <si>
    <t>Adele</t>
  </si>
  <si>
    <t>british soul</t>
  </si>
  <si>
    <t>Don't Know Why</t>
  </si>
  <si>
    <t>Tears Dry On Their Own</t>
  </si>
  <si>
    <t>Amy Winehouse</t>
  </si>
  <si>
    <t>The Eyes of Jenny</t>
  </si>
  <si>
    <t>Sandy Coast</t>
  </si>
  <si>
    <t>Iris</t>
  </si>
  <si>
    <t>The Goo Goo Dolls</t>
  </si>
  <si>
    <t>The Saints Are Coming</t>
  </si>
  <si>
    <t>U2</t>
  </si>
  <si>
    <t>irish rock</t>
  </si>
  <si>
    <t>All My Life</t>
  </si>
  <si>
    <t>De Weg</t>
  </si>
  <si>
    <t>Guus Meeuwis</t>
  </si>
  <si>
    <t>Don't Let Me Be Misunderstood</t>
  </si>
  <si>
    <t>Santa Esmeralda</t>
  </si>
  <si>
    <t>disco</t>
  </si>
  <si>
    <t>Traffic - Radio Edit</t>
  </si>
  <si>
    <t>Tiësto</t>
  </si>
  <si>
    <t>big room</t>
  </si>
  <si>
    <t>Take Me Out</t>
  </si>
  <si>
    <t>Franz Ferdinand</t>
  </si>
  <si>
    <t>American Idiot</t>
  </si>
  <si>
    <t>Green Day</t>
  </si>
  <si>
    <t>Breaking the Habit</t>
  </si>
  <si>
    <t>Linkin Park</t>
  </si>
  <si>
    <t>Come Undone</t>
  </si>
  <si>
    <t>Robbie Williams</t>
  </si>
  <si>
    <t>Sweet Jane</t>
  </si>
  <si>
    <t>Lou Reed</t>
  </si>
  <si>
    <t>art rock</t>
  </si>
  <si>
    <t>Run</t>
  </si>
  <si>
    <t>Snow Patrol</t>
  </si>
  <si>
    <t>You're The First, The Last, My Everything</t>
  </si>
  <si>
    <t>Barry White</t>
  </si>
  <si>
    <t>The Day After Tomorrow</t>
  </si>
  <si>
    <t>Saybia</t>
  </si>
  <si>
    <t>danish pop rock</t>
  </si>
  <si>
    <t>Metric</t>
  </si>
  <si>
    <t>Value</t>
  </si>
  <si>
    <t>Top Genres</t>
  </si>
  <si>
    <t>Tracks</t>
  </si>
  <si>
    <t>Top Artists</t>
  </si>
  <si>
    <t>Energy Band</t>
  </si>
  <si>
    <t>Popularity Band</t>
  </si>
  <si>
    <t>Audio Feature</t>
  </si>
  <si>
    <t>Selected Genre Avg</t>
  </si>
  <si>
    <t>Filtered KPI</t>
  </si>
  <si>
    <t>Total tracks</t>
  </si>
  <si>
    <t>Low (0–39)</t>
  </si>
  <si>
    <t>0–39</t>
  </si>
  <si>
    <t>Track count</t>
  </si>
  <si>
    <t>Average popularity</t>
  </si>
  <si>
    <t>Medium (40–69)</t>
  </si>
  <si>
    <t>40–59</t>
  </si>
  <si>
    <t>Avg Popularity</t>
  </si>
  <si>
    <t>Average danceability</t>
  </si>
  <si>
    <t>High (70–100)</t>
  </si>
  <si>
    <t>60–79</t>
  </si>
  <si>
    <t>Avg Energy</t>
  </si>
  <si>
    <t>Average energy</t>
  </si>
  <si>
    <t>80–100</t>
  </si>
  <si>
    <t>Avg Danceability</t>
  </si>
  <si>
    <t>Average BPM</t>
  </si>
  <si>
    <t>Avg BPM</t>
  </si>
  <si>
    <t>Average valence</t>
  </si>
  <si>
    <t>Avg Valence</t>
  </si>
  <si>
    <t>Average acousticness</t>
  </si>
  <si>
    <t>Filter</t>
  </si>
  <si>
    <t>Average loudness (dB)</t>
  </si>
  <si>
    <t>Average duration (sec)</t>
  </si>
  <si>
    <t>Unique genres</t>
  </si>
  <si>
    <t>Source &amp; Methodology</t>
  </si>
  <si>
    <t>Details</t>
  </si>
  <si>
    <t>Kaggle dataset</t>
  </si>
  <si>
    <t>Spotify - All Time Top 2000s Mega Dataset</t>
  </si>
  <si>
    <t>Kaggle URL</t>
  </si>
  <si>
    <t>https://www.kaggle.com/datasets/iamsumat/spotify-top-2000s-mega-dataset</t>
  </si>
  <si>
    <t>Dataset description</t>
  </si>
  <si>
    <t>Top 2000 Spotify tracks with audio features; Kaggle page states songs from 1956–2019 and about 15 columns.</t>
  </si>
  <si>
    <t>Dashboard build</t>
  </si>
  <si>
    <t>This workbook uses a verified 50-row extract from the published dataset source available in the companion public analysis file.</t>
  </si>
  <si>
    <t>Purpose</t>
  </si>
  <si>
    <t>Portfolio / learning dashboard for Advanced Excel data analysis.</t>
  </si>
  <si>
    <t>Main metrics</t>
  </si>
  <si>
    <t>Popularity, BPM, Energy, Danceability, Valence, Acousticness, Liveness, Speechiness, Loudness.</t>
  </si>
  <si>
    <t>Interactive control</t>
  </si>
  <si>
    <t>Select a genre on Dashboard!A6. KPI cards and radar profile update from the selected genre.</t>
  </si>
  <si>
    <t>Important</t>
  </si>
  <si>
    <t>For a full-dataset dashboard, replace/append the Raw Data sheet with the complete Kaggle CSV using the same 15-column schema.</t>
  </si>
  <si>
    <t>Genre</t>
  </si>
  <si>
    <t xml:space="preserve">                                                                                      SPOTIFY DASHBOARD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</si>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</sst>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name val="Carlito"/>
    </font>
    <font>
      <b/>
      <sz val="11"/>
      <color rgb="FFFFFFFF"/>
      <name val="Carlito"/>
    </font>
    <font>
      <sz val="10"/>
      <name val="Aptos"/>
    </font>
    <font>
      <b/>
      <sz val="24"/>
      <color rgb="FFFFFFFF"/>
      <name val="Aptos Display"/>
    </font>
    <font>
      <i/>
      <sz val="10"/>
      <color rgb="FF9CA3AF"/>
      <name val="Carlito"/>
    </font>
    <font>
      <b/>
      <sz val="11"/>
      <color rgb="FFB3B3B3"/>
      <name val="Carlito"/>
    </font>
    <font>
      <b/>
      <sz val="18"/>
      <color rgb="FFFFFFFF"/>
      <name val="Aptos Display"/>
    </font>
    <font>
      <b/>
      <sz val="9"/>
      <color rgb="FF1DB954"/>
      <name val="Carlito"/>
    </font>
    <font>
      <b/>
      <sz val="9"/>
      <color rgb="FF7DD3FC"/>
      <name val="Carlito"/>
    </font>
    <font>
      <b/>
      <sz val="9"/>
      <color rgb="FFF59E0B"/>
      <name val="Carlito"/>
    </font>
    <font>
      <b/>
      <sz val="9"/>
      <color rgb="FFC084FC"/>
      <name val="Carlito"/>
    </font>
    <font>
      <b/>
      <sz val="12"/>
      <color rgb="FFFFFFFF"/>
      <name val="Carlito"/>
    </font>
    <font>
      <sz val="10"/>
      <color rgb="FF111827"/>
      <name val="Aptos"/>
    </font>
    <font>
      <b/>
      <sz val="10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21212"/>
      </patternFill>
    </fill>
    <fill>
      <patternFill patternType="solid">
        <fgColor rgb="FF0B0F14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2" borderId="0" xfId="0" applyFont="1" applyFill="1"/>
    <xf numFmtId="0" fontId="1" fillId="4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Energy Mix</a:t>
            </a:r>
          </a:p>
        </c:rich>
      </c:tx>
      <c:layout>
        <c:manualLayout>
          <c:xMode val="edge"/>
          <c:yMode val="edge"/>
          <c:x val="1.5935248785391199E-2"/>
          <c:y val="4.5289855072463768E-2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v>Tracks</c:v>
          </c:tx>
          <c:cat>
            <c:strRef>
              <c:f>Analysis!$M$2:$M$4</c:f>
              <c:strCache>
                <c:ptCount val="3"/>
                <c:pt idx="0">
                  <c:v>Low (0–39)</c:v>
                </c:pt>
                <c:pt idx="1">
                  <c:v>Medium (40–69)</c:v>
                </c:pt>
                <c:pt idx="2">
                  <c:v>High (70–100)</c:v>
                </c:pt>
              </c:strCache>
            </c:strRef>
          </c:cat>
          <c:val>
            <c:numRef>
              <c:f>Analysis!$N$2:$N$4</c:f>
              <c:numCache>
                <c:formatCode>General</c:formatCode>
                <c:ptCount val="3"/>
                <c:pt idx="0">
                  <c:v>6</c:v>
                </c:pt>
                <c:pt idx="1">
                  <c:v>21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C-423D-BA71-5638E276A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Genres by Track Count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Tracks</c:v>
          </c:tx>
          <c:invertIfNegative val="1"/>
          <c:cat>
            <c:strRef>
              <c:f>Analysis!$D$2:$D$11</c:f>
              <c:strCache>
                <c:ptCount val="10"/>
                <c:pt idx="0">
                  <c:v>adult standards</c:v>
                </c:pt>
                <c:pt idx="1">
                  <c:v>alternative rock</c:v>
                </c:pt>
                <c:pt idx="2">
                  <c:v>modern rock</c:v>
                </c:pt>
                <c:pt idx="3">
                  <c:v>album rock</c:v>
                </c:pt>
                <c:pt idx="4">
                  <c:v>alternative metal</c:v>
                </c:pt>
                <c:pt idx="5">
                  <c:v>dutch pop</c:v>
                </c:pt>
                <c:pt idx="6">
                  <c:v>permanent wave</c:v>
                </c:pt>
                <c:pt idx="7">
                  <c:v>british soul</c:v>
                </c:pt>
                <c:pt idx="8">
                  <c:v>classic uk pop</c:v>
                </c:pt>
                <c:pt idx="9">
                  <c:v>dance pop</c:v>
                </c:pt>
              </c:strCache>
            </c:strRef>
          </c:cat>
          <c:val>
            <c:numRef>
              <c:f>Analysis!$E$2:$E$11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4-434C-8134-450B8E42A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Tracks by Release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Tracks</c:v>
          </c:tx>
          <c:marker>
            <c:symbol val="none"/>
          </c:marker>
          <c:cat>
            <c:numRef>
              <c:f>Analysis!$J$2:$J$11</c:f>
              <c:numCache>
                <c:formatCode>General</c:formatCode>
                <c:ptCount val="1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</c:numCache>
            </c:numRef>
          </c:cat>
          <c:val>
            <c:numRef>
              <c:f>Analysis!$K$2:$K$11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11</c:v>
                </c:pt>
                <c:pt idx="3">
                  <c:v>3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AB-4786-9EA5-3648E1493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Selected Genre Audio Profile</a:t>
            </a:r>
          </a:p>
        </c:rich>
      </c:tx>
      <c:layout>
        <c:manualLayout>
          <c:xMode val="edge"/>
          <c:yMode val="edge"/>
          <c:x val="1.0874506071356453E-2"/>
          <c:y val="3.3444816053511704E-2"/>
        </c:manualLayout>
      </c:layout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Selected Genre Avg</c:v>
          </c:tx>
          <c:cat>
            <c:strRef>
              <c:f>Analysis!$S$2:$S$7</c:f>
              <c:strCache>
                <c:ptCount val="6"/>
                <c:pt idx="0">
                  <c:v>Energy</c:v>
                </c:pt>
                <c:pt idx="1">
                  <c:v>Danceability</c:v>
                </c:pt>
                <c:pt idx="2">
                  <c:v>Valence</c:v>
                </c:pt>
                <c:pt idx="3">
                  <c:v>Acousticness</c:v>
                </c:pt>
                <c:pt idx="4">
                  <c:v>Liveness</c:v>
                </c:pt>
                <c:pt idx="5">
                  <c:v>Speechiness</c:v>
                </c:pt>
              </c:strCache>
            </c:strRef>
          </c:cat>
          <c:val>
            <c:numRef>
              <c:f>Analysis!$T$2:$T$7</c:f>
              <c:numCache>
                <c:formatCode>0.0</c:formatCode>
                <c:ptCount val="6"/>
                <c:pt idx="0">
                  <c:v>64.58</c:v>
                </c:pt>
                <c:pt idx="1">
                  <c:v>53.8</c:v>
                </c:pt>
                <c:pt idx="2">
                  <c:v>46.84</c:v>
                </c:pt>
                <c:pt idx="3">
                  <c:v>20.92</c:v>
                </c:pt>
                <c:pt idx="4">
                  <c:v>19.079999999999998</c:v>
                </c:pt>
                <c:pt idx="5">
                  <c:v>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6-4D5B-82DE-739F41365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Artists by Track Count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Tracks</c:v>
          </c:tx>
          <c:invertIfNegative val="1"/>
          <c:cat>
            <c:strRef>
              <c:f>Analysis!$G$2:$G$11</c:f>
              <c:strCache>
                <c:ptCount val="10"/>
                <c:pt idx="0">
                  <c:v>Coldplay</c:v>
                </c:pt>
                <c:pt idx="1">
                  <c:v>Eminem</c:v>
                </c:pt>
                <c:pt idx="2">
                  <c:v>Foo Fighters</c:v>
                </c:pt>
                <c:pt idx="3">
                  <c:v>Norah Jones</c:v>
                </c:pt>
                <c:pt idx="4">
                  <c:v>The Killers</c:v>
                </c:pt>
                <c:pt idx="5">
                  <c:v>Adele</c:v>
                </c:pt>
                <c:pt idx="6">
                  <c:v>Alanis Morissette</c:v>
                </c:pt>
                <c:pt idx="7">
                  <c:v>Amy Winehouse</c:v>
                </c:pt>
                <c:pt idx="8">
                  <c:v>Arctic Monkeys</c:v>
                </c:pt>
                <c:pt idx="9">
                  <c:v>BLØF</c:v>
                </c:pt>
              </c:strCache>
            </c:strRef>
          </c:cat>
          <c:val>
            <c:numRef>
              <c:f>Analysis!$H$2:$H$11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BC0-B012-2F737409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Popularity Bands</a:t>
            </a:r>
          </a:p>
        </c:rich>
      </c:tx>
      <c:layout>
        <c:manualLayout>
          <c:xMode val="edge"/>
          <c:yMode val="edge"/>
          <c:x val="6.5865276455827626E-2"/>
          <c:y val="6.7934782608695649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Tracks</c:v>
          </c:tx>
          <c:invertIfNegative val="1"/>
          <c:cat>
            <c:strRef>
              <c:f>Analysis!$P$2:$P$5</c:f>
              <c:strCache>
                <c:ptCount val="4"/>
                <c:pt idx="0">
                  <c:v>0–39</c:v>
                </c:pt>
                <c:pt idx="1">
                  <c:v>40–59</c:v>
                </c:pt>
                <c:pt idx="2">
                  <c:v>60–79</c:v>
                </c:pt>
                <c:pt idx="3">
                  <c:v>80–100</c:v>
                </c:pt>
              </c:strCache>
            </c:strRef>
          </c:cat>
          <c:val>
            <c:numRef>
              <c:f>Analysis!$Q$2:$Q$5</c:f>
              <c:numCache>
                <c:formatCode>General</c:formatCode>
                <c:ptCount val="4"/>
                <c:pt idx="0">
                  <c:v>4</c:v>
                </c:pt>
                <c:pt idx="1">
                  <c:v>20</c:v>
                </c:pt>
                <c:pt idx="2">
                  <c:v>23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8-490E-AFF1-55768A90B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7</xdr:col>
      <xdr:colOff>0</xdr:colOff>
      <xdr:row>62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otifyData" displayName="SpotifyData" ref="A1:O51" totalsRowShown="0">
  <tableColumns count="15">
    <tableColumn id="1" xr3:uid="{00000000-0010-0000-0000-000001000000}" name="Index"/>
    <tableColumn id="2" xr3:uid="{00000000-0010-0000-0000-000002000000}" name="Title"/>
    <tableColumn id="3" xr3:uid="{00000000-0010-0000-0000-000003000000}" name="Artist"/>
    <tableColumn id="4" xr3:uid="{00000000-0010-0000-0000-000004000000}" name="Top Genre"/>
    <tableColumn id="5" xr3:uid="{00000000-0010-0000-0000-000005000000}" name="Year"/>
    <tableColumn id="6" xr3:uid="{00000000-0010-0000-0000-000006000000}" name="Beats Per Minute (BPM)"/>
    <tableColumn id="7" xr3:uid="{00000000-0010-0000-0000-000007000000}" name="Energy"/>
    <tableColumn id="8" xr3:uid="{00000000-0010-0000-0000-000008000000}" name="Danceability"/>
    <tableColumn id="9" xr3:uid="{00000000-0010-0000-0000-000009000000}" name="Loudness (dB)"/>
    <tableColumn id="10" xr3:uid="{00000000-0010-0000-0000-00000A000000}" name="Liveness"/>
    <tableColumn id="11" xr3:uid="{00000000-0010-0000-0000-00000B000000}" name="Valence"/>
    <tableColumn id="12" xr3:uid="{00000000-0010-0000-0000-00000C000000}" name="Length (Duration)"/>
    <tableColumn id="13" xr3:uid="{00000000-0010-0000-0000-00000D000000}" name="Acousticness"/>
    <tableColumn id="14" xr3:uid="{00000000-0010-0000-0000-00000E000000}" name="Speechiness"/>
    <tableColumn id="15" xr3:uid="{00000000-0010-0000-0000-00000F000000}" name="Popula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zoomScale="55" zoomScaleNormal="55" workbookViewId="0">
      <selection activeCell="T21" sqref="T21"/>
    </sheetView>
  </sheetViews>
  <sheetFormatPr defaultRowHeight="13.8"/>
  <cols>
    <col min="1" max="3" width="14" customWidth="1"/>
    <col min="4" max="14" width="13" customWidth="1"/>
  </cols>
  <sheetData>
    <row r="1" spans="1:14">
      <c r="A1" s="16" t="s">
        <v>203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>
      <c r="A4" s="6"/>
      <c r="B4" s="6"/>
      <c r="C4" s="6"/>
      <c r="D4" s="6"/>
      <c r="E4" s="7" t="s">
        <v>0</v>
      </c>
      <c r="F4" s="6"/>
      <c r="G4" s="6"/>
      <c r="H4" s="7" t="s">
        <v>1</v>
      </c>
      <c r="I4" s="6"/>
      <c r="J4" s="6"/>
      <c r="K4" s="7" t="s">
        <v>2</v>
      </c>
      <c r="L4" s="6"/>
      <c r="M4" s="6"/>
      <c r="N4" s="6"/>
    </row>
    <row r="5" spans="1:14">
      <c r="A5" s="18" t="s">
        <v>3</v>
      </c>
      <c r="B5" s="18"/>
      <c r="C5" s="18"/>
      <c r="D5" s="6"/>
      <c r="E5" s="20">
        <f>Analysis!X2</f>
        <v>50</v>
      </c>
      <c r="F5" s="21"/>
      <c r="G5" s="21"/>
      <c r="H5" s="22">
        <f>Analysis!X3</f>
        <v>60.2</v>
      </c>
      <c r="I5" s="21"/>
      <c r="J5" s="21"/>
      <c r="K5" s="22">
        <f>Analysis!X4</f>
        <v>64.58</v>
      </c>
      <c r="L5" s="21"/>
      <c r="M5" s="21"/>
      <c r="N5" s="6"/>
    </row>
    <row r="6" spans="1:14">
      <c r="A6" s="19" t="s">
        <v>4</v>
      </c>
      <c r="B6" s="19"/>
      <c r="C6" s="19"/>
      <c r="D6" s="6"/>
      <c r="E6" s="21"/>
      <c r="F6" s="21"/>
      <c r="G6" s="21"/>
      <c r="H6" s="21"/>
      <c r="I6" s="21"/>
      <c r="J6" s="21"/>
      <c r="K6" s="21"/>
      <c r="L6" s="21"/>
      <c r="M6" s="21"/>
      <c r="N6" s="6"/>
    </row>
    <row r="7" spans="1:14">
      <c r="A7" s="6"/>
      <c r="B7" s="6"/>
      <c r="C7" s="6"/>
      <c r="D7" s="6"/>
      <c r="E7" s="21"/>
      <c r="F7" s="21"/>
      <c r="G7" s="21"/>
      <c r="H7" s="21"/>
      <c r="I7" s="21"/>
      <c r="J7" s="21"/>
      <c r="K7" s="21"/>
      <c r="L7" s="21"/>
      <c r="M7" s="21"/>
      <c r="N7" s="6"/>
    </row>
    <row r="8" spans="1:14">
      <c r="A8" s="6"/>
      <c r="B8" s="6"/>
      <c r="C8" s="6"/>
      <c r="D8" s="6"/>
      <c r="E8" s="21"/>
      <c r="F8" s="21"/>
      <c r="G8" s="21"/>
      <c r="H8" s="21"/>
      <c r="I8" s="21"/>
      <c r="J8" s="21"/>
      <c r="K8" s="21"/>
      <c r="L8" s="21"/>
      <c r="M8" s="21"/>
      <c r="N8" s="6"/>
    </row>
    <row r="9" spans="1:14">
      <c r="A9" s="6"/>
      <c r="B9" s="6"/>
      <c r="C9" s="6"/>
      <c r="D9" s="6"/>
      <c r="E9" s="8" t="s">
        <v>5</v>
      </c>
      <c r="F9" s="6"/>
      <c r="G9" s="6"/>
      <c r="H9" s="9" t="s">
        <v>6</v>
      </c>
      <c r="I9" s="6"/>
      <c r="J9" s="6"/>
      <c r="K9" s="10" t="s">
        <v>7</v>
      </c>
      <c r="L9" s="6"/>
      <c r="M9" s="6"/>
      <c r="N9" s="6"/>
    </row>
    <row r="10" spans="1:14">
      <c r="A10" s="6"/>
      <c r="B10" s="6"/>
      <c r="C10" s="6"/>
      <c r="D10" s="6"/>
      <c r="E10" s="22">
        <f>Analysis!X5</f>
        <v>53.8</v>
      </c>
      <c r="F10" s="21"/>
      <c r="G10" s="21"/>
      <c r="H10" s="22">
        <f>Analysis!X6</f>
        <v>125.28</v>
      </c>
      <c r="I10" s="21"/>
      <c r="J10" s="21"/>
      <c r="K10" s="22">
        <f>Analysis!X7</f>
        <v>46.84</v>
      </c>
      <c r="L10" s="21"/>
      <c r="M10" s="21"/>
      <c r="N10" s="6"/>
    </row>
    <row r="11" spans="1:14">
      <c r="A11" s="6"/>
      <c r="B11" s="6"/>
      <c r="C11" s="6"/>
      <c r="D11" s="6"/>
      <c r="E11" s="21"/>
      <c r="F11" s="21"/>
      <c r="G11" s="21"/>
      <c r="H11" s="21"/>
      <c r="I11" s="21"/>
      <c r="J11" s="21"/>
      <c r="K11" s="21"/>
      <c r="L11" s="21"/>
      <c r="M11" s="21"/>
      <c r="N11" s="6"/>
    </row>
    <row r="12" spans="1:14">
      <c r="A12" s="6"/>
      <c r="B12" s="6"/>
      <c r="C12" s="6"/>
      <c r="D12" s="6"/>
      <c r="E12" s="21"/>
      <c r="F12" s="21"/>
      <c r="G12" s="21"/>
      <c r="H12" s="21"/>
      <c r="I12" s="21"/>
      <c r="J12" s="21"/>
      <c r="K12" s="21"/>
      <c r="L12" s="21"/>
      <c r="M12" s="21"/>
      <c r="N12" s="6"/>
    </row>
    <row r="13" spans="1:14">
      <c r="A13" s="6"/>
      <c r="B13" s="6"/>
      <c r="C13" s="6"/>
      <c r="D13" s="6"/>
      <c r="E13" s="21"/>
      <c r="F13" s="21"/>
      <c r="G13" s="21"/>
      <c r="H13" s="21"/>
      <c r="I13" s="21"/>
      <c r="J13" s="21"/>
      <c r="K13" s="21"/>
      <c r="L13" s="21"/>
      <c r="M13" s="21"/>
      <c r="N13" s="6"/>
    </row>
    <row r="14" spans="1: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5.6">
      <c r="A15" s="11" t="s">
        <v>8</v>
      </c>
      <c r="B15" s="6"/>
      <c r="C15" s="6"/>
      <c r="D15" s="6"/>
      <c r="E15" s="6"/>
      <c r="F15" s="6"/>
      <c r="G15" s="6"/>
      <c r="H15" s="11" t="s">
        <v>9</v>
      </c>
      <c r="I15" s="6"/>
      <c r="J15" s="6"/>
      <c r="K15" s="6"/>
      <c r="L15" s="6"/>
      <c r="M15" s="6"/>
      <c r="N15" s="6"/>
    </row>
    <row r="16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5.6">
      <c r="A32" s="11" t="s">
        <v>10</v>
      </c>
      <c r="B32" s="6"/>
      <c r="C32" s="6"/>
      <c r="D32" s="6"/>
      <c r="E32" s="6"/>
      <c r="F32" s="6"/>
      <c r="G32" s="6"/>
      <c r="H32" s="11" t="s">
        <v>11</v>
      </c>
      <c r="I32" s="6"/>
      <c r="J32" s="6"/>
      <c r="K32" s="6"/>
      <c r="L32" s="6"/>
      <c r="M32" s="6"/>
      <c r="N32" s="6"/>
    </row>
    <row r="33" spans="1:1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5.6">
      <c r="A46" s="11" t="s">
        <v>12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74" spans="11:11">
      <c r="K74" t="s">
        <v>204</v>
      </c>
    </row>
  </sheetData>
  <mergeCells count="10">
    <mergeCell ref="E10:G13"/>
    <mergeCell ref="H10:J13"/>
    <mergeCell ref="K10:M13"/>
    <mergeCell ref="A1:N2"/>
    <mergeCell ref="A3:N3"/>
    <mergeCell ref="A5:C5"/>
    <mergeCell ref="A6:C6"/>
    <mergeCell ref="E5:G8"/>
    <mergeCell ref="H5:J8"/>
    <mergeCell ref="K5:M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Lists!$A$2:$A$30</xm:f>
          </x14:formula1>
          <xm:sqref>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workbookViewId="0"/>
  </sheetViews>
  <sheetFormatPr defaultRowHeight="13.8"/>
  <cols>
    <col min="1" max="1" width="8" customWidth="1"/>
    <col min="2" max="2" width="34" customWidth="1"/>
    <col min="3" max="3" width="23" customWidth="1"/>
    <col min="4" max="4" width="24" customWidth="1"/>
    <col min="5" max="5" width="9" customWidth="1"/>
    <col min="6" max="6" width="14" customWidth="1"/>
    <col min="7" max="8" width="12" customWidth="1"/>
    <col min="9" max="9" width="14" customWidth="1"/>
    <col min="10" max="11" width="11" customWidth="1"/>
    <col min="12" max="12" width="16" customWidth="1"/>
    <col min="13" max="15" width="14" customWidth="1"/>
  </cols>
  <sheetData>
    <row r="1" spans="1:15" ht="27.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>
      <c r="A2" s="3">
        <v>1</v>
      </c>
      <c r="B2" s="3" t="s">
        <v>28</v>
      </c>
      <c r="C2" s="3" t="s">
        <v>29</v>
      </c>
      <c r="D2" s="3" t="s">
        <v>30</v>
      </c>
      <c r="E2" s="3">
        <v>2004</v>
      </c>
      <c r="F2" s="3">
        <v>157</v>
      </c>
      <c r="G2" s="4">
        <v>30</v>
      </c>
      <c r="H2" s="4">
        <v>53</v>
      </c>
      <c r="I2" s="3">
        <v>-14</v>
      </c>
      <c r="J2" s="3">
        <v>11</v>
      </c>
      <c r="K2" s="3">
        <v>68</v>
      </c>
      <c r="L2" s="3">
        <v>201</v>
      </c>
      <c r="M2" s="4">
        <v>94</v>
      </c>
      <c r="N2" s="4">
        <v>3</v>
      </c>
      <c r="O2" s="4">
        <v>71</v>
      </c>
    </row>
    <row r="3" spans="1:15">
      <c r="A3" s="3">
        <v>2</v>
      </c>
      <c r="B3" s="3" t="s">
        <v>31</v>
      </c>
      <c r="C3" s="3" t="s">
        <v>32</v>
      </c>
      <c r="D3" s="3" t="s">
        <v>33</v>
      </c>
      <c r="E3" s="3">
        <v>2000</v>
      </c>
      <c r="F3" s="3">
        <v>135</v>
      </c>
      <c r="G3" s="4">
        <v>79</v>
      </c>
      <c r="H3" s="4">
        <v>50</v>
      </c>
      <c r="I3" s="3">
        <v>-11</v>
      </c>
      <c r="J3" s="3">
        <v>17</v>
      </c>
      <c r="K3" s="3">
        <v>81</v>
      </c>
      <c r="L3" s="3">
        <v>207</v>
      </c>
      <c r="M3" s="4">
        <v>17</v>
      </c>
      <c r="N3" s="4">
        <v>7</v>
      </c>
      <c r="O3" s="4">
        <v>39</v>
      </c>
    </row>
    <row r="4" spans="1:15">
      <c r="A4" s="3">
        <v>3</v>
      </c>
      <c r="B4" s="3" t="s">
        <v>34</v>
      </c>
      <c r="C4" s="3" t="s">
        <v>35</v>
      </c>
      <c r="D4" s="3" t="s">
        <v>36</v>
      </c>
      <c r="E4" s="3">
        <v>2001</v>
      </c>
      <c r="F4" s="3">
        <v>168</v>
      </c>
      <c r="G4" s="4">
        <v>69</v>
      </c>
      <c r="H4" s="4">
        <v>66</v>
      </c>
      <c r="I4" s="3">
        <v>-9</v>
      </c>
      <c r="J4" s="3">
        <v>7</v>
      </c>
      <c r="K4" s="3">
        <v>52</v>
      </c>
      <c r="L4" s="3">
        <v>341</v>
      </c>
      <c r="M4" s="4">
        <v>2</v>
      </c>
      <c r="N4" s="4">
        <v>17</v>
      </c>
      <c r="O4" s="4">
        <v>69</v>
      </c>
    </row>
    <row r="5" spans="1:15">
      <c r="A5" s="3">
        <v>4</v>
      </c>
      <c r="B5" s="3" t="s">
        <v>37</v>
      </c>
      <c r="C5" s="3" t="s">
        <v>38</v>
      </c>
      <c r="D5" s="3" t="s">
        <v>39</v>
      </c>
      <c r="E5" s="3">
        <v>2007</v>
      </c>
      <c r="F5" s="3">
        <v>173</v>
      </c>
      <c r="G5" s="4">
        <v>96</v>
      </c>
      <c r="H5" s="4">
        <v>43</v>
      </c>
      <c r="I5" s="3">
        <v>-4</v>
      </c>
      <c r="J5" s="3">
        <v>3</v>
      </c>
      <c r="K5" s="3">
        <v>37</v>
      </c>
      <c r="L5" s="3">
        <v>269</v>
      </c>
      <c r="M5" s="4">
        <v>0</v>
      </c>
      <c r="N5" s="4">
        <v>4</v>
      </c>
      <c r="O5" s="4">
        <v>76</v>
      </c>
    </row>
    <row r="6" spans="1:15">
      <c r="A6" s="3">
        <v>5</v>
      </c>
      <c r="B6" s="3" t="s">
        <v>40</v>
      </c>
      <c r="C6" s="3" t="s">
        <v>41</v>
      </c>
      <c r="D6" s="3" t="s">
        <v>42</v>
      </c>
      <c r="E6" s="3">
        <v>2002</v>
      </c>
      <c r="F6" s="3">
        <v>106</v>
      </c>
      <c r="G6" s="4">
        <v>82</v>
      </c>
      <c r="H6" s="4">
        <v>58</v>
      </c>
      <c r="I6" s="3">
        <v>-5</v>
      </c>
      <c r="J6" s="3">
        <v>10</v>
      </c>
      <c r="K6" s="3">
        <v>87</v>
      </c>
      <c r="L6" s="3">
        <v>256</v>
      </c>
      <c r="M6" s="4">
        <v>1</v>
      </c>
      <c r="N6" s="4">
        <v>3</v>
      </c>
      <c r="O6" s="4">
        <v>59</v>
      </c>
    </row>
    <row r="7" spans="1:15">
      <c r="A7" s="3">
        <v>6</v>
      </c>
      <c r="B7" s="3" t="s">
        <v>43</v>
      </c>
      <c r="C7" s="3" t="s">
        <v>44</v>
      </c>
      <c r="D7" s="3" t="s">
        <v>45</v>
      </c>
      <c r="E7" s="3">
        <v>2004</v>
      </c>
      <c r="F7" s="3">
        <v>99</v>
      </c>
      <c r="G7" s="4">
        <v>46</v>
      </c>
      <c r="H7" s="4">
        <v>54</v>
      </c>
      <c r="I7" s="3">
        <v>-9</v>
      </c>
      <c r="J7" s="3">
        <v>14</v>
      </c>
      <c r="K7" s="3">
        <v>14</v>
      </c>
      <c r="L7" s="3">
        <v>247</v>
      </c>
      <c r="M7" s="4">
        <v>0</v>
      </c>
      <c r="N7" s="4">
        <v>2</v>
      </c>
      <c r="O7" s="4">
        <v>45</v>
      </c>
    </row>
    <row r="8" spans="1:15">
      <c r="A8" s="3">
        <v>7</v>
      </c>
      <c r="B8" s="3" t="s">
        <v>46</v>
      </c>
      <c r="C8" s="3" t="s">
        <v>47</v>
      </c>
      <c r="D8" s="3" t="s">
        <v>48</v>
      </c>
      <c r="E8" s="3">
        <v>2002</v>
      </c>
      <c r="F8" s="3">
        <v>102</v>
      </c>
      <c r="G8" s="4">
        <v>71</v>
      </c>
      <c r="H8" s="4">
        <v>71</v>
      </c>
      <c r="I8" s="3">
        <v>-6</v>
      </c>
      <c r="J8" s="3">
        <v>13</v>
      </c>
      <c r="K8" s="3">
        <v>54</v>
      </c>
      <c r="L8" s="3">
        <v>257</v>
      </c>
      <c r="M8" s="4">
        <v>6</v>
      </c>
      <c r="N8" s="4">
        <v>3</v>
      </c>
      <c r="O8" s="4">
        <v>74</v>
      </c>
    </row>
    <row r="9" spans="1:15">
      <c r="A9" s="3">
        <v>8</v>
      </c>
      <c r="B9" s="3" t="s">
        <v>49</v>
      </c>
      <c r="C9" s="3" t="s">
        <v>50</v>
      </c>
      <c r="D9" s="3" t="s">
        <v>51</v>
      </c>
      <c r="E9" s="3">
        <v>2006</v>
      </c>
      <c r="F9" s="3">
        <v>137</v>
      </c>
      <c r="G9" s="4">
        <v>96</v>
      </c>
      <c r="H9" s="4">
        <v>37</v>
      </c>
      <c r="I9" s="3">
        <v>-5</v>
      </c>
      <c r="J9" s="3">
        <v>12</v>
      </c>
      <c r="K9" s="3">
        <v>21</v>
      </c>
      <c r="L9" s="3">
        <v>366</v>
      </c>
      <c r="M9" s="4">
        <v>0</v>
      </c>
      <c r="N9" s="4">
        <v>14</v>
      </c>
      <c r="O9" s="4">
        <v>69</v>
      </c>
    </row>
    <row r="10" spans="1:15">
      <c r="A10" s="3">
        <v>9</v>
      </c>
      <c r="B10" s="3" t="s">
        <v>52</v>
      </c>
      <c r="C10" s="3" t="s">
        <v>53</v>
      </c>
      <c r="D10" s="3" t="s">
        <v>51</v>
      </c>
      <c r="E10" s="3">
        <v>2004</v>
      </c>
      <c r="F10" s="3">
        <v>148</v>
      </c>
      <c r="G10" s="4">
        <v>92</v>
      </c>
      <c r="H10" s="4">
        <v>36</v>
      </c>
      <c r="I10" s="3">
        <v>-4</v>
      </c>
      <c r="J10" s="3">
        <v>10</v>
      </c>
      <c r="K10" s="3">
        <v>23</v>
      </c>
      <c r="L10" s="3">
        <v>223</v>
      </c>
      <c r="M10" s="4">
        <v>0</v>
      </c>
      <c r="N10" s="4">
        <v>8</v>
      </c>
      <c r="O10" s="4">
        <v>77</v>
      </c>
    </row>
    <row r="11" spans="1:15">
      <c r="A11" s="3">
        <v>10</v>
      </c>
      <c r="B11" s="3" t="s">
        <v>54</v>
      </c>
      <c r="C11" s="3" t="s">
        <v>55</v>
      </c>
      <c r="D11" s="3" t="s">
        <v>56</v>
      </c>
      <c r="E11" s="3">
        <v>2002</v>
      </c>
      <c r="F11" s="3">
        <v>112</v>
      </c>
      <c r="G11" s="4">
        <v>67</v>
      </c>
      <c r="H11" s="4">
        <v>91</v>
      </c>
      <c r="I11" s="3">
        <v>-3</v>
      </c>
      <c r="J11" s="3">
        <v>24</v>
      </c>
      <c r="K11" s="3">
        <v>66</v>
      </c>
      <c r="L11" s="3">
        <v>290</v>
      </c>
      <c r="M11" s="4">
        <v>0</v>
      </c>
      <c r="N11" s="4">
        <v>7</v>
      </c>
      <c r="O11" s="4">
        <v>82</v>
      </c>
    </row>
    <row r="12" spans="1:15">
      <c r="A12" s="3">
        <v>11</v>
      </c>
      <c r="B12" s="3" t="s">
        <v>57</v>
      </c>
      <c r="C12" s="3" t="s">
        <v>58</v>
      </c>
      <c r="D12" s="3" t="s">
        <v>30</v>
      </c>
      <c r="E12" s="3">
        <v>2002</v>
      </c>
      <c r="F12" s="3">
        <v>109</v>
      </c>
      <c r="G12" s="4">
        <v>5</v>
      </c>
      <c r="H12" s="4">
        <v>44</v>
      </c>
      <c r="I12" s="3">
        <v>-16</v>
      </c>
      <c r="J12" s="3">
        <v>11</v>
      </c>
      <c r="K12" s="3">
        <v>31</v>
      </c>
      <c r="L12" s="3">
        <v>162</v>
      </c>
      <c r="M12" s="4">
        <v>88</v>
      </c>
      <c r="N12" s="4">
        <v>4</v>
      </c>
      <c r="O12" s="4">
        <v>49</v>
      </c>
    </row>
    <row r="13" spans="1:15">
      <c r="A13" s="3">
        <v>12</v>
      </c>
      <c r="B13" s="3" t="s">
        <v>59</v>
      </c>
      <c r="C13" s="3" t="s">
        <v>60</v>
      </c>
      <c r="D13" s="3" t="s">
        <v>61</v>
      </c>
      <c r="E13" s="3">
        <v>2003</v>
      </c>
      <c r="F13" s="3">
        <v>124</v>
      </c>
      <c r="G13" s="4">
        <v>46</v>
      </c>
      <c r="H13" s="4">
        <v>74</v>
      </c>
      <c r="I13" s="3">
        <v>-8</v>
      </c>
      <c r="J13" s="3">
        <v>26</v>
      </c>
      <c r="K13" s="3">
        <v>32</v>
      </c>
      <c r="L13" s="3">
        <v>232</v>
      </c>
      <c r="M13" s="4">
        <v>1</v>
      </c>
      <c r="N13" s="4">
        <v>8</v>
      </c>
      <c r="O13" s="4">
        <v>74</v>
      </c>
    </row>
    <row r="14" spans="1:15">
      <c r="A14" s="3">
        <v>13</v>
      </c>
      <c r="B14" s="3" t="s">
        <v>62</v>
      </c>
      <c r="C14" s="3" t="s">
        <v>63</v>
      </c>
      <c r="D14" s="3" t="s">
        <v>64</v>
      </c>
      <c r="E14" s="3">
        <v>2000</v>
      </c>
      <c r="F14" s="3">
        <v>102</v>
      </c>
      <c r="G14" s="4">
        <v>88</v>
      </c>
      <c r="H14" s="4">
        <v>54</v>
      </c>
      <c r="I14" s="3">
        <v>-6</v>
      </c>
      <c r="J14" s="3">
        <v>53</v>
      </c>
      <c r="K14" s="3">
        <v>59</v>
      </c>
      <c r="L14" s="3">
        <v>214</v>
      </c>
      <c r="M14" s="4">
        <v>2</v>
      </c>
      <c r="N14" s="4">
        <v>3</v>
      </c>
      <c r="O14" s="4">
        <v>34</v>
      </c>
    </row>
    <row r="15" spans="1:15">
      <c r="A15" s="3">
        <v>14</v>
      </c>
      <c r="B15" s="3" t="s">
        <v>65</v>
      </c>
      <c r="C15" s="3" t="s">
        <v>66</v>
      </c>
      <c r="D15" s="3" t="s">
        <v>33</v>
      </c>
      <c r="E15" s="3">
        <v>2005</v>
      </c>
      <c r="F15" s="3">
        <v>117</v>
      </c>
      <c r="G15" s="4">
        <v>93</v>
      </c>
      <c r="H15" s="4">
        <v>38</v>
      </c>
      <c r="I15" s="3">
        <v>-2</v>
      </c>
      <c r="J15" s="3">
        <v>81</v>
      </c>
      <c r="K15" s="3">
        <v>40</v>
      </c>
      <c r="L15" s="3">
        <v>639</v>
      </c>
      <c r="M15" s="4">
        <v>18</v>
      </c>
      <c r="N15" s="4">
        <v>10</v>
      </c>
      <c r="O15" s="4">
        <v>26</v>
      </c>
    </row>
    <row r="16" spans="1:15">
      <c r="A16" s="3">
        <v>15</v>
      </c>
      <c r="B16" s="3" t="s">
        <v>67</v>
      </c>
      <c r="C16" s="3" t="s">
        <v>68</v>
      </c>
      <c r="D16" s="3" t="s">
        <v>69</v>
      </c>
      <c r="E16" s="3">
        <v>2007</v>
      </c>
      <c r="F16" s="3">
        <v>112</v>
      </c>
      <c r="G16" s="4">
        <v>81</v>
      </c>
      <c r="H16" s="4">
        <v>65</v>
      </c>
      <c r="I16" s="3">
        <v>-5</v>
      </c>
      <c r="J16" s="3">
        <v>14</v>
      </c>
      <c r="K16" s="3">
        <v>82</v>
      </c>
      <c r="L16" s="3">
        <v>173</v>
      </c>
      <c r="M16" s="4">
        <v>0</v>
      </c>
      <c r="N16" s="4">
        <v>3</v>
      </c>
      <c r="O16" s="4">
        <v>66</v>
      </c>
    </row>
    <row r="17" spans="1:15">
      <c r="A17" s="3">
        <v>16</v>
      </c>
      <c r="B17" s="3" t="s">
        <v>70</v>
      </c>
      <c r="C17" s="3" t="s">
        <v>71</v>
      </c>
      <c r="D17" s="3" t="s">
        <v>72</v>
      </c>
      <c r="E17" s="3">
        <v>2006</v>
      </c>
      <c r="F17" s="3">
        <v>133</v>
      </c>
      <c r="G17" s="4">
        <v>42</v>
      </c>
      <c r="H17" s="4">
        <v>42</v>
      </c>
      <c r="I17" s="3">
        <v>-10</v>
      </c>
      <c r="J17" s="3">
        <v>16</v>
      </c>
      <c r="K17" s="3">
        <v>25</v>
      </c>
      <c r="L17" s="3">
        <v>236</v>
      </c>
      <c r="M17" s="4">
        <v>84</v>
      </c>
      <c r="N17" s="4">
        <v>4</v>
      </c>
      <c r="O17" s="4">
        <v>48</v>
      </c>
    </row>
    <row r="18" spans="1:15">
      <c r="A18" s="3">
        <v>17</v>
      </c>
      <c r="B18" s="3" t="s">
        <v>73</v>
      </c>
      <c r="C18" s="3" t="s">
        <v>74</v>
      </c>
      <c r="D18" s="3" t="s">
        <v>75</v>
      </c>
      <c r="E18" s="3">
        <v>2005</v>
      </c>
      <c r="F18" s="3">
        <v>123</v>
      </c>
      <c r="G18" s="4">
        <v>90</v>
      </c>
      <c r="H18" s="4">
        <v>52</v>
      </c>
      <c r="I18" s="3">
        <v>-7</v>
      </c>
      <c r="J18" s="3">
        <v>7</v>
      </c>
      <c r="K18" s="3">
        <v>36</v>
      </c>
      <c r="L18" s="3">
        <v>288</v>
      </c>
      <c r="M18" s="4">
        <v>0</v>
      </c>
      <c r="N18" s="4">
        <v>6</v>
      </c>
      <c r="O18" s="4">
        <v>69</v>
      </c>
    </row>
    <row r="19" spans="1:15">
      <c r="A19" s="3">
        <v>18</v>
      </c>
      <c r="B19" s="3" t="s">
        <v>76</v>
      </c>
      <c r="C19" s="3" t="s">
        <v>77</v>
      </c>
      <c r="D19" s="3" t="s">
        <v>61</v>
      </c>
      <c r="E19" s="3">
        <v>2005</v>
      </c>
      <c r="F19" s="3">
        <v>127</v>
      </c>
      <c r="G19" s="4">
        <v>54</v>
      </c>
      <c r="H19" s="4">
        <v>38</v>
      </c>
      <c r="I19" s="3">
        <v>-5</v>
      </c>
      <c r="J19" s="3">
        <v>9</v>
      </c>
      <c r="K19" s="3">
        <v>19</v>
      </c>
      <c r="L19" s="3">
        <v>276</v>
      </c>
      <c r="M19" s="4">
        <v>2</v>
      </c>
      <c r="N19" s="4">
        <v>3</v>
      </c>
      <c r="O19" s="4">
        <v>57</v>
      </c>
    </row>
    <row r="20" spans="1:15">
      <c r="A20" s="3">
        <v>19</v>
      </c>
      <c r="B20" s="3" t="s">
        <v>78</v>
      </c>
      <c r="C20" s="3" t="s">
        <v>79</v>
      </c>
      <c r="D20" s="3" t="s">
        <v>80</v>
      </c>
      <c r="E20" s="3">
        <v>2004</v>
      </c>
      <c r="F20" s="3">
        <v>87</v>
      </c>
      <c r="G20" s="4">
        <v>31</v>
      </c>
      <c r="H20" s="4">
        <v>27</v>
      </c>
      <c r="I20" s="3">
        <v>-13</v>
      </c>
      <c r="J20" s="3">
        <v>63</v>
      </c>
      <c r="K20" s="3">
        <v>12</v>
      </c>
      <c r="L20" s="3">
        <v>352</v>
      </c>
      <c r="M20" s="4">
        <v>1</v>
      </c>
      <c r="N20" s="4">
        <v>3</v>
      </c>
      <c r="O20" s="4">
        <v>46</v>
      </c>
    </row>
    <row r="21" spans="1:15">
      <c r="A21" s="3">
        <v>20</v>
      </c>
      <c r="B21" s="3" t="s">
        <v>81</v>
      </c>
      <c r="C21" s="3" t="s">
        <v>82</v>
      </c>
      <c r="D21" s="3" t="s">
        <v>83</v>
      </c>
      <c r="E21" s="3">
        <v>2002</v>
      </c>
      <c r="F21" s="3">
        <v>74</v>
      </c>
      <c r="G21" s="4">
        <v>65</v>
      </c>
      <c r="H21" s="4">
        <v>62</v>
      </c>
      <c r="I21" s="3">
        <v>-7</v>
      </c>
      <c r="J21" s="3">
        <v>10</v>
      </c>
      <c r="K21" s="3">
        <v>56</v>
      </c>
      <c r="L21" s="3">
        <v>288</v>
      </c>
      <c r="M21" s="4">
        <v>57</v>
      </c>
      <c r="N21" s="4">
        <v>18</v>
      </c>
      <c r="O21" s="4">
        <v>74</v>
      </c>
    </row>
    <row r="22" spans="1:15">
      <c r="A22" s="3">
        <v>21</v>
      </c>
      <c r="B22" s="3" t="s">
        <v>84</v>
      </c>
      <c r="C22" s="3" t="s">
        <v>74</v>
      </c>
      <c r="D22" s="3" t="s">
        <v>75</v>
      </c>
      <c r="E22" s="3">
        <v>2005</v>
      </c>
      <c r="F22" s="3">
        <v>138</v>
      </c>
      <c r="G22" s="4">
        <v>42</v>
      </c>
      <c r="H22" s="4">
        <v>21</v>
      </c>
      <c r="I22" s="3">
        <v>-9</v>
      </c>
      <c r="J22" s="3">
        <v>11</v>
      </c>
      <c r="K22" s="3">
        <v>12</v>
      </c>
      <c r="L22" s="3">
        <v>296</v>
      </c>
      <c r="M22" s="4">
        <v>16</v>
      </c>
      <c r="N22" s="4">
        <v>3</v>
      </c>
      <c r="O22" s="4">
        <v>81</v>
      </c>
    </row>
    <row r="23" spans="1:15">
      <c r="A23" s="3">
        <v>22</v>
      </c>
      <c r="B23" s="3" t="s">
        <v>85</v>
      </c>
      <c r="C23" s="3" t="s">
        <v>86</v>
      </c>
      <c r="D23" s="3" t="s">
        <v>87</v>
      </c>
      <c r="E23" s="3">
        <v>2009</v>
      </c>
      <c r="F23" s="3">
        <v>142</v>
      </c>
      <c r="G23" s="4">
        <v>51</v>
      </c>
      <c r="H23" s="4">
        <v>60</v>
      </c>
      <c r="I23" s="3">
        <v>-10</v>
      </c>
      <c r="J23" s="3">
        <v>11</v>
      </c>
      <c r="K23" s="3">
        <v>35</v>
      </c>
      <c r="L23" s="3">
        <v>218</v>
      </c>
      <c r="M23" s="4">
        <v>5</v>
      </c>
      <c r="N23" s="4">
        <v>4</v>
      </c>
      <c r="O23" s="4">
        <v>67</v>
      </c>
    </row>
    <row r="24" spans="1:15">
      <c r="A24" s="3">
        <v>23</v>
      </c>
      <c r="B24" s="3" t="s">
        <v>88</v>
      </c>
      <c r="C24" s="3" t="s">
        <v>89</v>
      </c>
      <c r="D24" s="3" t="s">
        <v>90</v>
      </c>
      <c r="E24" s="3">
        <v>2006</v>
      </c>
      <c r="F24" s="3">
        <v>96</v>
      </c>
      <c r="G24" s="4">
        <v>89</v>
      </c>
      <c r="H24" s="4">
        <v>63</v>
      </c>
      <c r="I24" s="3">
        <v>-6</v>
      </c>
      <c r="J24" s="3">
        <v>9</v>
      </c>
      <c r="K24" s="3">
        <v>81</v>
      </c>
      <c r="L24" s="3">
        <v>176</v>
      </c>
      <c r="M24" s="4">
        <v>5</v>
      </c>
      <c r="N24" s="4">
        <v>3</v>
      </c>
      <c r="O24" s="4">
        <v>55</v>
      </c>
    </row>
    <row r="25" spans="1:15">
      <c r="A25" s="3">
        <v>24</v>
      </c>
      <c r="B25" s="3" t="s">
        <v>91</v>
      </c>
      <c r="C25" s="3" t="s">
        <v>53</v>
      </c>
      <c r="D25" s="3" t="s">
        <v>51</v>
      </c>
      <c r="E25" s="3">
        <v>2004</v>
      </c>
      <c r="F25" s="3">
        <v>138</v>
      </c>
      <c r="G25" s="4">
        <v>99</v>
      </c>
      <c r="H25" s="4">
        <v>51</v>
      </c>
      <c r="I25" s="3">
        <v>-3</v>
      </c>
      <c r="J25" s="3">
        <v>12</v>
      </c>
      <c r="K25" s="3">
        <v>65</v>
      </c>
      <c r="L25" s="3">
        <v>197</v>
      </c>
      <c r="M25" s="4">
        <v>0</v>
      </c>
      <c r="N25" s="4">
        <v>9</v>
      </c>
      <c r="O25" s="4">
        <v>69</v>
      </c>
    </row>
    <row r="26" spans="1:15">
      <c r="A26" s="3">
        <v>25</v>
      </c>
      <c r="B26" s="3" t="s">
        <v>92</v>
      </c>
      <c r="C26" s="3" t="s">
        <v>93</v>
      </c>
      <c r="D26" s="3" t="s">
        <v>90</v>
      </c>
      <c r="E26" s="3">
        <v>2002</v>
      </c>
      <c r="F26" s="3">
        <v>112</v>
      </c>
      <c r="G26" s="4">
        <v>74</v>
      </c>
      <c r="H26" s="4">
        <v>65</v>
      </c>
      <c r="I26" s="3">
        <v>-7</v>
      </c>
      <c r="J26" s="3">
        <v>23</v>
      </c>
      <c r="K26" s="3">
        <v>52</v>
      </c>
      <c r="L26" s="3">
        <v>261</v>
      </c>
      <c r="M26" s="4">
        <v>18</v>
      </c>
      <c r="N26" s="4">
        <v>3</v>
      </c>
      <c r="O26" s="4">
        <v>16</v>
      </c>
    </row>
    <row r="27" spans="1:15">
      <c r="A27" s="3">
        <v>26</v>
      </c>
      <c r="B27" s="3" t="s">
        <v>94</v>
      </c>
      <c r="C27" s="3" t="s">
        <v>95</v>
      </c>
      <c r="D27" s="3" t="s">
        <v>96</v>
      </c>
      <c r="E27" s="3">
        <v>2008</v>
      </c>
      <c r="F27" s="3">
        <v>130</v>
      </c>
      <c r="G27" s="4">
        <v>48</v>
      </c>
      <c r="H27" s="4">
        <v>55</v>
      </c>
      <c r="I27" s="3">
        <v>-8</v>
      </c>
      <c r="J27" s="3">
        <v>10</v>
      </c>
      <c r="K27" s="3">
        <v>18</v>
      </c>
      <c r="L27" s="3">
        <v>270</v>
      </c>
      <c r="M27" s="4">
        <v>48</v>
      </c>
      <c r="N27" s="4">
        <v>3</v>
      </c>
      <c r="O27" s="4">
        <v>50</v>
      </c>
    </row>
    <row r="28" spans="1:15">
      <c r="A28" s="3">
        <v>27</v>
      </c>
      <c r="B28" s="3" t="s">
        <v>97</v>
      </c>
      <c r="C28" s="3" t="s">
        <v>98</v>
      </c>
      <c r="D28" s="3" t="s">
        <v>99</v>
      </c>
      <c r="E28" s="3">
        <v>2007</v>
      </c>
      <c r="F28" s="3">
        <v>123</v>
      </c>
      <c r="G28" s="4">
        <v>68</v>
      </c>
      <c r="H28" s="4">
        <v>53</v>
      </c>
      <c r="I28" s="3">
        <v>-4</v>
      </c>
      <c r="J28" s="3">
        <v>12</v>
      </c>
      <c r="K28" s="3">
        <v>55</v>
      </c>
      <c r="L28" s="3">
        <v>298</v>
      </c>
      <c r="M28" s="4">
        <v>0</v>
      </c>
      <c r="N28" s="4">
        <v>4</v>
      </c>
      <c r="O28" s="4">
        <v>56</v>
      </c>
    </row>
    <row r="29" spans="1:15">
      <c r="A29" s="3">
        <v>28</v>
      </c>
      <c r="B29" s="3" t="s">
        <v>100</v>
      </c>
      <c r="C29" s="3" t="s">
        <v>55</v>
      </c>
      <c r="D29" s="3" t="s">
        <v>56</v>
      </c>
      <c r="E29" s="3">
        <v>2002</v>
      </c>
      <c r="F29" s="3">
        <v>148</v>
      </c>
      <c r="G29" s="4">
        <v>76</v>
      </c>
      <c r="H29" s="4">
        <v>91</v>
      </c>
      <c r="I29" s="3">
        <v>-5</v>
      </c>
      <c r="J29" s="3">
        <v>8</v>
      </c>
      <c r="K29" s="3">
        <v>87</v>
      </c>
      <c r="L29" s="3">
        <v>298</v>
      </c>
      <c r="M29" s="4">
        <v>7</v>
      </c>
      <c r="N29" s="4">
        <v>17</v>
      </c>
      <c r="O29" s="4">
        <v>71</v>
      </c>
    </row>
    <row r="30" spans="1:15">
      <c r="A30" s="3">
        <v>29</v>
      </c>
      <c r="B30" s="3" t="s">
        <v>101</v>
      </c>
      <c r="C30" s="3" t="s">
        <v>102</v>
      </c>
      <c r="D30" s="3" t="s">
        <v>103</v>
      </c>
      <c r="E30" s="3">
        <v>2008</v>
      </c>
      <c r="F30" s="3">
        <v>142</v>
      </c>
      <c r="G30" s="4">
        <v>24</v>
      </c>
      <c r="H30" s="4">
        <v>34</v>
      </c>
      <c r="I30" s="3">
        <v>-11</v>
      </c>
      <c r="J30" s="3">
        <v>12</v>
      </c>
      <c r="K30" s="3">
        <v>19</v>
      </c>
      <c r="L30" s="3">
        <v>259</v>
      </c>
      <c r="M30" s="4">
        <v>92</v>
      </c>
      <c r="N30" s="4">
        <v>4</v>
      </c>
      <c r="O30" s="4">
        <v>48</v>
      </c>
    </row>
    <row r="31" spans="1:15">
      <c r="A31" s="3">
        <v>30</v>
      </c>
      <c r="B31" s="3" t="s">
        <v>104</v>
      </c>
      <c r="C31" s="3" t="s">
        <v>105</v>
      </c>
      <c r="D31" s="3" t="s">
        <v>106</v>
      </c>
      <c r="E31" s="3">
        <v>2004</v>
      </c>
      <c r="F31" s="3">
        <v>154</v>
      </c>
      <c r="G31" s="4">
        <v>70</v>
      </c>
      <c r="H31" s="4">
        <v>68</v>
      </c>
      <c r="I31" s="3">
        <v>-10</v>
      </c>
      <c r="J31" s="3">
        <v>33</v>
      </c>
      <c r="K31" s="3">
        <v>51</v>
      </c>
      <c r="L31" s="3">
        <v>306</v>
      </c>
      <c r="M31" s="4">
        <v>8</v>
      </c>
      <c r="N31" s="4">
        <v>3</v>
      </c>
      <c r="O31" s="4">
        <v>59</v>
      </c>
    </row>
    <row r="32" spans="1:15">
      <c r="A32" s="3">
        <v>31</v>
      </c>
      <c r="B32" s="3" t="s">
        <v>107</v>
      </c>
      <c r="C32" s="3" t="s">
        <v>74</v>
      </c>
      <c r="D32" s="3" t="s">
        <v>75</v>
      </c>
      <c r="E32" s="3">
        <v>2002</v>
      </c>
      <c r="F32" s="3">
        <v>146</v>
      </c>
      <c r="G32" s="4">
        <v>44</v>
      </c>
      <c r="H32" s="4">
        <v>56</v>
      </c>
      <c r="I32" s="3">
        <v>-7</v>
      </c>
      <c r="J32" s="3">
        <v>11</v>
      </c>
      <c r="K32" s="3">
        <v>21</v>
      </c>
      <c r="L32" s="3">
        <v>310</v>
      </c>
      <c r="M32" s="4">
        <v>73</v>
      </c>
      <c r="N32" s="4">
        <v>2</v>
      </c>
      <c r="O32" s="4">
        <v>84</v>
      </c>
    </row>
    <row r="33" spans="1:15">
      <c r="A33" s="3">
        <v>32</v>
      </c>
      <c r="B33" s="3" t="s">
        <v>108</v>
      </c>
      <c r="C33" s="3" t="s">
        <v>109</v>
      </c>
      <c r="D33" s="3" t="s">
        <v>33</v>
      </c>
      <c r="E33" s="3">
        <v>2007</v>
      </c>
      <c r="F33" s="3">
        <v>181</v>
      </c>
      <c r="G33" s="4">
        <v>59</v>
      </c>
      <c r="H33" s="4">
        <v>56</v>
      </c>
      <c r="I33" s="3">
        <v>-9</v>
      </c>
      <c r="J33" s="3">
        <v>20</v>
      </c>
      <c r="K33" s="3">
        <v>68</v>
      </c>
      <c r="L33" s="3">
        <v>306</v>
      </c>
      <c r="M33" s="4">
        <v>32</v>
      </c>
      <c r="N33" s="4">
        <v>3</v>
      </c>
      <c r="O33" s="4">
        <v>57</v>
      </c>
    </row>
    <row r="34" spans="1:15">
      <c r="A34" s="3">
        <v>33</v>
      </c>
      <c r="B34" s="3" t="s">
        <v>110</v>
      </c>
      <c r="C34" s="3" t="s">
        <v>111</v>
      </c>
      <c r="D34" s="3" t="s">
        <v>112</v>
      </c>
      <c r="E34" s="3">
        <v>2008</v>
      </c>
      <c r="F34" s="3">
        <v>80</v>
      </c>
      <c r="G34" s="4">
        <v>47</v>
      </c>
      <c r="H34" s="4">
        <v>62</v>
      </c>
      <c r="I34" s="3">
        <v>-6</v>
      </c>
      <c r="J34" s="3">
        <v>11</v>
      </c>
      <c r="K34" s="3">
        <v>33</v>
      </c>
      <c r="L34" s="3">
        <v>211</v>
      </c>
      <c r="M34" s="4">
        <v>31</v>
      </c>
      <c r="N34" s="4">
        <v>3</v>
      </c>
      <c r="O34" s="4">
        <v>63</v>
      </c>
    </row>
    <row r="35" spans="1:15">
      <c r="A35" s="3">
        <v>34</v>
      </c>
      <c r="B35" s="3" t="s">
        <v>113</v>
      </c>
      <c r="C35" s="3" t="s">
        <v>29</v>
      </c>
      <c r="D35" s="3" t="s">
        <v>30</v>
      </c>
      <c r="E35" s="3">
        <v>2002</v>
      </c>
      <c r="F35" s="3">
        <v>88</v>
      </c>
      <c r="G35" s="4">
        <v>20</v>
      </c>
      <c r="H35" s="4">
        <v>73</v>
      </c>
      <c r="I35" s="3">
        <v>-12</v>
      </c>
      <c r="J35" s="3">
        <v>7</v>
      </c>
      <c r="K35" s="3">
        <v>62</v>
      </c>
      <c r="L35" s="3">
        <v>186</v>
      </c>
      <c r="M35" s="4">
        <v>88</v>
      </c>
      <c r="N35" s="4">
        <v>3</v>
      </c>
      <c r="O35" s="4">
        <v>74</v>
      </c>
    </row>
    <row r="36" spans="1:15">
      <c r="A36" s="3">
        <v>35</v>
      </c>
      <c r="B36" s="3" t="s">
        <v>114</v>
      </c>
      <c r="C36" s="3" t="s">
        <v>115</v>
      </c>
      <c r="D36" s="3" t="s">
        <v>112</v>
      </c>
      <c r="E36" s="3">
        <v>2006</v>
      </c>
      <c r="F36" s="3">
        <v>122</v>
      </c>
      <c r="G36" s="4">
        <v>87</v>
      </c>
      <c r="H36" s="4">
        <v>64</v>
      </c>
      <c r="I36" s="3">
        <v>-3</v>
      </c>
      <c r="J36" s="3">
        <v>29</v>
      </c>
      <c r="K36" s="3">
        <v>45</v>
      </c>
      <c r="L36" s="3">
        <v>185</v>
      </c>
      <c r="M36" s="4">
        <v>49</v>
      </c>
      <c r="N36" s="4">
        <v>12</v>
      </c>
      <c r="O36" s="4">
        <v>72</v>
      </c>
    </row>
    <row r="37" spans="1:15">
      <c r="A37" s="3">
        <v>36</v>
      </c>
      <c r="B37" s="3" t="s">
        <v>116</v>
      </c>
      <c r="C37" s="3" t="s">
        <v>117</v>
      </c>
      <c r="D37" s="3" t="s">
        <v>80</v>
      </c>
      <c r="E37" s="3">
        <v>2009</v>
      </c>
      <c r="F37" s="3">
        <v>119</v>
      </c>
      <c r="G37" s="4">
        <v>53</v>
      </c>
      <c r="H37" s="4">
        <v>68</v>
      </c>
      <c r="I37" s="3">
        <v>-12</v>
      </c>
      <c r="J37" s="3">
        <v>8</v>
      </c>
      <c r="K37" s="3">
        <v>68</v>
      </c>
      <c r="L37" s="3">
        <v>264</v>
      </c>
      <c r="M37" s="4">
        <v>34</v>
      </c>
      <c r="N37" s="4">
        <v>4</v>
      </c>
      <c r="O37" s="4">
        <v>44</v>
      </c>
    </row>
    <row r="38" spans="1:15">
      <c r="A38" s="3">
        <v>37</v>
      </c>
      <c r="B38" s="3" t="s">
        <v>118</v>
      </c>
      <c r="C38" s="3" t="s">
        <v>119</v>
      </c>
      <c r="D38" s="3" t="s">
        <v>61</v>
      </c>
      <c r="E38" s="3">
        <v>2007</v>
      </c>
      <c r="F38" s="3">
        <v>156</v>
      </c>
      <c r="G38" s="4">
        <v>79</v>
      </c>
      <c r="H38" s="4">
        <v>29</v>
      </c>
      <c r="I38" s="3">
        <v>-6</v>
      </c>
      <c r="J38" s="3">
        <v>8</v>
      </c>
      <c r="K38" s="3">
        <v>51</v>
      </c>
      <c r="L38" s="3">
        <v>290</v>
      </c>
      <c r="M38" s="4">
        <v>0</v>
      </c>
      <c r="N38" s="4">
        <v>4</v>
      </c>
      <c r="O38" s="4">
        <v>75</v>
      </c>
    </row>
    <row r="39" spans="1:15">
      <c r="A39" s="3">
        <v>38</v>
      </c>
      <c r="B39" s="3" t="s">
        <v>120</v>
      </c>
      <c r="C39" s="3" t="s">
        <v>121</v>
      </c>
      <c r="D39" s="3" t="s">
        <v>122</v>
      </c>
      <c r="E39" s="3">
        <v>2006</v>
      </c>
      <c r="F39" s="3">
        <v>152</v>
      </c>
      <c r="G39" s="4">
        <v>81</v>
      </c>
      <c r="H39" s="4">
        <v>32</v>
      </c>
      <c r="I39" s="3">
        <v>-7</v>
      </c>
      <c r="J39" s="3">
        <v>15</v>
      </c>
      <c r="K39" s="3">
        <v>12</v>
      </c>
      <c r="L39" s="3">
        <v>202</v>
      </c>
      <c r="M39" s="4">
        <v>8</v>
      </c>
      <c r="N39" s="4">
        <v>5</v>
      </c>
      <c r="O39" s="4">
        <v>40</v>
      </c>
    </row>
    <row r="40" spans="1:15">
      <c r="A40" s="3">
        <v>39</v>
      </c>
      <c r="B40" s="3" t="s">
        <v>123</v>
      </c>
      <c r="C40" s="3" t="s">
        <v>38</v>
      </c>
      <c r="D40" s="3" t="s">
        <v>39</v>
      </c>
      <c r="E40" s="3">
        <v>2002</v>
      </c>
      <c r="F40" s="3">
        <v>168</v>
      </c>
      <c r="G40" s="4">
        <v>60</v>
      </c>
      <c r="H40" s="4">
        <v>58</v>
      </c>
      <c r="I40" s="3">
        <v>-6</v>
      </c>
      <c r="J40" s="3">
        <v>48</v>
      </c>
      <c r="K40" s="3">
        <v>65</v>
      </c>
      <c r="L40" s="3">
        <v>263</v>
      </c>
      <c r="M40" s="4">
        <v>0</v>
      </c>
      <c r="N40" s="4">
        <v>5</v>
      </c>
      <c r="O40" s="4">
        <v>72</v>
      </c>
    </row>
    <row r="41" spans="1:15">
      <c r="A41" s="3">
        <v>40</v>
      </c>
      <c r="B41" s="3" t="s">
        <v>124</v>
      </c>
      <c r="C41" s="3" t="s">
        <v>125</v>
      </c>
      <c r="D41" s="3" t="s">
        <v>90</v>
      </c>
      <c r="E41" s="3">
        <v>2005</v>
      </c>
      <c r="F41" s="3">
        <v>72</v>
      </c>
      <c r="G41" s="4">
        <v>21</v>
      </c>
      <c r="H41" s="4">
        <v>46</v>
      </c>
      <c r="I41" s="3">
        <v>-11</v>
      </c>
      <c r="J41" s="3">
        <v>11</v>
      </c>
      <c r="K41" s="3">
        <v>26</v>
      </c>
      <c r="L41" s="3">
        <v>266</v>
      </c>
      <c r="M41" s="4">
        <v>91</v>
      </c>
      <c r="N41" s="4">
        <v>3</v>
      </c>
      <c r="O41" s="4">
        <v>42</v>
      </c>
    </row>
    <row r="42" spans="1:15">
      <c r="A42" s="3">
        <v>41</v>
      </c>
      <c r="B42" s="3" t="s">
        <v>126</v>
      </c>
      <c r="C42" s="3" t="s">
        <v>127</v>
      </c>
      <c r="D42" s="3" t="s">
        <v>128</v>
      </c>
      <c r="E42" s="3">
        <v>2003</v>
      </c>
      <c r="F42" s="3">
        <v>118</v>
      </c>
      <c r="G42" s="4">
        <v>82</v>
      </c>
      <c r="H42" s="4">
        <v>67</v>
      </c>
      <c r="I42" s="3">
        <v>-9</v>
      </c>
      <c r="J42" s="3">
        <v>5</v>
      </c>
      <c r="K42" s="3">
        <v>78</v>
      </c>
      <c r="L42" s="3">
        <v>629</v>
      </c>
      <c r="M42" s="4">
        <v>3</v>
      </c>
      <c r="N42" s="4">
        <v>8</v>
      </c>
      <c r="O42" s="4">
        <v>59</v>
      </c>
    </row>
    <row r="43" spans="1:15">
      <c r="A43" s="3">
        <v>42</v>
      </c>
      <c r="B43" s="3" t="s">
        <v>129</v>
      </c>
      <c r="C43" s="3" t="s">
        <v>130</v>
      </c>
      <c r="D43" s="3" t="s">
        <v>131</v>
      </c>
      <c r="E43" s="3">
        <v>2009</v>
      </c>
      <c r="F43" s="3">
        <v>138</v>
      </c>
      <c r="G43" s="4">
        <v>64</v>
      </c>
      <c r="H43" s="4">
        <v>71</v>
      </c>
      <c r="I43" s="3">
        <v>-10</v>
      </c>
      <c r="J43" s="3">
        <v>19</v>
      </c>
      <c r="K43" s="3">
        <v>10</v>
      </c>
      <c r="L43" s="3">
        <v>177</v>
      </c>
      <c r="M43" s="4">
        <v>0</v>
      </c>
      <c r="N43" s="4">
        <v>9</v>
      </c>
      <c r="O43" s="4">
        <v>53</v>
      </c>
    </row>
    <row r="44" spans="1:15">
      <c r="A44" s="3">
        <v>43</v>
      </c>
      <c r="B44" s="3" t="s">
        <v>132</v>
      </c>
      <c r="C44" s="3" t="s">
        <v>133</v>
      </c>
      <c r="D44" s="3" t="s">
        <v>61</v>
      </c>
      <c r="E44" s="3">
        <v>2004</v>
      </c>
      <c r="F44" s="3">
        <v>105</v>
      </c>
      <c r="G44" s="4">
        <v>68</v>
      </c>
      <c r="H44" s="4">
        <v>28</v>
      </c>
      <c r="I44" s="3">
        <v>-9</v>
      </c>
      <c r="J44" s="3">
        <v>14</v>
      </c>
      <c r="K44" s="3">
        <v>49</v>
      </c>
      <c r="L44" s="3">
        <v>237</v>
      </c>
      <c r="M44" s="4">
        <v>0</v>
      </c>
      <c r="N44" s="4">
        <v>4</v>
      </c>
      <c r="O44" s="4">
        <v>74</v>
      </c>
    </row>
    <row r="45" spans="1:15">
      <c r="A45" s="3">
        <v>44</v>
      </c>
      <c r="B45" s="3" t="s">
        <v>134</v>
      </c>
      <c r="C45" s="3" t="s">
        <v>135</v>
      </c>
      <c r="D45" s="3" t="s">
        <v>51</v>
      </c>
      <c r="E45" s="3">
        <v>2004</v>
      </c>
      <c r="F45" s="3">
        <v>186</v>
      </c>
      <c r="G45" s="4">
        <v>99</v>
      </c>
      <c r="H45" s="4">
        <v>38</v>
      </c>
      <c r="I45" s="3">
        <v>-2</v>
      </c>
      <c r="J45" s="3">
        <v>37</v>
      </c>
      <c r="K45" s="3">
        <v>77</v>
      </c>
      <c r="L45" s="3">
        <v>176</v>
      </c>
      <c r="M45" s="4">
        <v>0</v>
      </c>
      <c r="N45" s="4">
        <v>6</v>
      </c>
      <c r="O45" s="4">
        <v>78</v>
      </c>
    </row>
    <row r="46" spans="1:15">
      <c r="A46" s="3">
        <v>45</v>
      </c>
      <c r="B46" s="3" t="s">
        <v>136</v>
      </c>
      <c r="C46" s="3" t="s">
        <v>137</v>
      </c>
      <c r="D46" s="3" t="s">
        <v>39</v>
      </c>
      <c r="E46" s="3">
        <v>2003</v>
      </c>
      <c r="F46" s="3">
        <v>100</v>
      </c>
      <c r="G46" s="4">
        <v>85</v>
      </c>
      <c r="H46" s="4">
        <v>58</v>
      </c>
      <c r="I46" s="3">
        <v>-5</v>
      </c>
      <c r="J46" s="3">
        <v>9</v>
      </c>
      <c r="K46" s="3">
        <v>58</v>
      </c>
      <c r="L46" s="3">
        <v>197</v>
      </c>
      <c r="M46" s="4">
        <v>11</v>
      </c>
      <c r="N46" s="4">
        <v>3</v>
      </c>
      <c r="O46" s="4">
        <v>65</v>
      </c>
    </row>
    <row r="47" spans="1:15">
      <c r="A47" s="3">
        <v>46</v>
      </c>
      <c r="B47" s="3" t="s">
        <v>138</v>
      </c>
      <c r="C47" s="3" t="s">
        <v>139</v>
      </c>
      <c r="D47" s="3" t="s">
        <v>83</v>
      </c>
      <c r="E47" s="3">
        <v>2002</v>
      </c>
      <c r="F47" s="3">
        <v>168</v>
      </c>
      <c r="G47" s="4">
        <v>57</v>
      </c>
      <c r="H47" s="4">
        <v>38</v>
      </c>
      <c r="I47" s="3">
        <v>-5</v>
      </c>
      <c r="J47" s="3">
        <v>35</v>
      </c>
      <c r="K47" s="3">
        <v>26</v>
      </c>
      <c r="L47" s="3">
        <v>278</v>
      </c>
      <c r="M47" s="4">
        <v>4</v>
      </c>
      <c r="N47" s="4">
        <v>3</v>
      </c>
      <c r="O47" s="4">
        <v>56</v>
      </c>
    </row>
    <row r="48" spans="1:15">
      <c r="A48" s="3">
        <v>47</v>
      </c>
      <c r="B48" s="3" t="s">
        <v>140</v>
      </c>
      <c r="C48" s="3" t="s">
        <v>141</v>
      </c>
      <c r="D48" s="3" t="s">
        <v>142</v>
      </c>
      <c r="E48" s="3">
        <v>2008</v>
      </c>
      <c r="F48" s="3">
        <v>115</v>
      </c>
      <c r="G48" s="4">
        <v>46</v>
      </c>
      <c r="H48" s="4">
        <v>83</v>
      </c>
      <c r="I48" s="3">
        <v>-10</v>
      </c>
      <c r="J48" s="3">
        <v>70</v>
      </c>
      <c r="K48" s="3">
        <v>88</v>
      </c>
      <c r="L48" s="3">
        <v>331</v>
      </c>
      <c r="M48" s="4">
        <v>48</v>
      </c>
      <c r="N48" s="4">
        <v>6</v>
      </c>
      <c r="O48" s="4">
        <v>43</v>
      </c>
    </row>
    <row r="49" spans="1:15">
      <c r="A49" s="3">
        <v>48</v>
      </c>
      <c r="B49" s="3" t="s">
        <v>143</v>
      </c>
      <c r="C49" s="3" t="s">
        <v>144</v>
      </c>
      <c r="D49" s="3" t="s">
        <v>122</v>
      </c>
      <c r="E49" s="3">
        <v>2004</v>
      </c>
      <c r="F49" s="3">
        <v>75</v>
      </c>
      <c r="G49" s="4">
        <v>64</v>
      </c>
      <c r="H49" s="4">
        <v>37</v>
      </c>
      <c r="I49" s="3">
        <v>-6</v>
      </c>
      <c r="J49" s="3">
        <v>17</v>
      </c>
      <c r="K49" s="3">
        <v>20</v>
      </c>
      <c r="L49" s="3">
        <v>355</v>
      </c>
      <c r="M49" s="4">
        <v>0</v>
      </c>
      <c r="N49" s="4">
        <v>3</v>
      </c>
      <c r="O49" s="4">
        <v>65</v>
      </c>
    </row>
    <row r="50" spans="1:15">
      <c r="A50" s="3">
        <v>49</v>
      </c>
      <c r="B50" s="3" t="s">
        <v>145</v>
      </c>
      <c r="C50" s="3" t="s">
        <v>146</v>
      </c>
      <c r="D50" s="3" t="s">
        <v>30</v>
      </c>
      <c r="E50" s="3">
        <v>2009</v>
      </c>
      <c r="F50" s="3">
        <v>131</v>
      </c>
      <c r="G50" s="4">
        <v>72</v>
      </c>
      <c r="H50" s="4">
        <v>64</v>
      </c>
      <c r="I50" s="3">
        <v>-7</v>
      </c>
      <c r="J50" s="3">
        <v>14</v>
      </c>
      <c r="K50" s="3">
        <v>80</v>
      </c>
      <c r="L50" s="3">
        <v>213</v>
      </c>
      <c r="M50" s="4">
        <v>1</v>
      </c>
      <c r="N50" s="4">
        <v>4</v>
      </c>
      <c r="O50" s="4">
        <v>67</v>
      </c>
    </row>
    <row r="51" spans="1:15">
      <c r="A51" s="3">
        <v>50</v>
      </c>
      <c r="B51" s="3" t="s">
        <v>147</v>
      </c>
      <c r="C51" s="3" t="s">
        <v>148</v>
      </c>
      <c r="D51" s="3" t="s">
        <v>149</v>
      </c>
      <c r="E51" s="3">
        <v>2005</v>
      </c>
      <c r="F51" s="3">
        <v>76</v>
      </c>
      <c r="G51" s="4">
        <v>77</v>
      </c>
      <c r="H51" s="4">
        <v>46</v>
      </c>
      <c r="I51" s="3">
        <v>-5</v>
      </c>
      <c r="J51" s="3">
        <v>14</v>
      </c>
      <c r="K51" s="3">
        <v>35</v>
      </c>
      <c r="L51" s="3">
        <v>234</v>
      </c>
      <c r="M51" s="4">
        <v>1</v>
      </c>
      <c r="N51" s="4">
        <v>3</v>
      </c>
      <c r="O51" s="4">
        <v>51</v>
      </c>
    </row>
  </sheetData>
  <conditionalFormatting sqref="G2:G51">
    <cfRule type="dataBar" priority="2">
      <dataBar>
        <cfvo type="min"/>
        <cfvo type="max"/>
        <color rgb="FF1DB954"/>
      </dataBar>
    </cfRule>
    <cfRule type="dataBar" priority="4">
      <dataBar>
        <cfvo type="min"/>
        <cfvo type="max"/>
        <color rgb="FF1DB954"/>
      </dataBar>
      <extLst>
        <ext xmlns:x14="http://schemas.microsoft.com/office/spreadsheetml/2009/9/main" uri="{B025F937-C7B1-47D3-B67F-A62EFF666E3E}">
          <x14:id>{9A1D1F4E-114C-5DFD-264A-604AFEEAA181}</x14:id>
        </ext>
      </extLst>
    </cfRule>
  </conditionalFormatting>
  <conditionalFormatting sqref="H2:H5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O2:O51">
    <cfRule type="dataBar" priority="3">
      <dataBar>
        <cfvo type="min"/>
        <cfvo type="max"/>
        <color rgb="FF1DB954"/>
      </dataBar>
    </cfRule>
    <cfRule type="dataBar" priority="5">
      <dataBar>
        <cfvo type="min"/>
        <cfvo type="max"/>
        <color rgb="FF1DB954"/>
      </dataBar>
      <extLst>
        <ext xmlns:x14="http://schemas.microsoft.com/office/spreadsheetml/2009/9/main" uri="{B025F937-C7B1-47D3-B67F-A62EFF666E3E}">
          <x14:id>{7949C2E7-AE48-63B8-E187-57FFDC3B3D82}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1D1F4E-114C-5DFD-264A-604AFEEAA181}">
            <x14:dataBar>
              <x14:cfvo type="min"/>
              <x14:cfvo type="max"/>
              <x14:negativeFillColor auto="1"/>
              <x14:axisColor auto="1"/>
            </x14:dataBar>
          </x14:cfRule>
          <xm:sqref>G2:G51</xm:sqref>
        </x14:conditionalFormatting>
        <x14:conditionalFormatting xmlns:xm="http://schemas.microsoft.com/office/excel/2006/main">
          <x14:cfRule type="dataBar" id="{7949C2E7-AE48-63B8-E187-57FFDC3B3D82}">
            <x14:dataBar>
              <x14:cfvo type="min"/>
              <x14:cfvo type="max"/>
              <x14:negativeFillColor auto="1"/>
              <x14:axisColor auto="1"/>
            </x14:dataBar>
          </x14:cfRule>
          <xm:sqref>O2:O51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workbookViewId="0"/>
  </sheetViews>
  <sheetFormatPr defaultRowHeight="13.8"/>
  <cols>
    <col min="1" max="2" width="21" customWidth="1"/>
    <col min="4" max="5" width="21" customWidth="1"/>
    <col min="7" max="8" width="21" customWidth="1"/>
    <col min="10" max="11" width="21" customWidth="1"/>
    <col min="13" max="14" width="21" customWidth="1"/>
    <col min="16" max="17" width="21" customWidth="1"/>
    <col min="19" max="20" width="21" customWidth="1"/>
    <col min="23" max="24" width="21" customWidth="1"/>
  </cols>
  <sheetData>
    <row r="1" spans="1:24">
      <c r="A1" s="14" t="s">
        <v>150</v>
      </c>
      <c r="B1" s="14" t="s">
        <v>151</v>
      </c>
      <c r="D1" s="14" t="s">
        <v>152</v>
      </c>
      <c r="E1" s="14" t="s">
        <v>153</v>
      </c>
      <c r="G1" s="14" t="s">
        <v>154</v>
      </c>
      <c r="H1" s="14" t="s">
        <v>153</v>
      </c>
      <c r="J1" s="14" t="s">
        <v>17</v>
      </c>
      <c r="K1" s="14" t="s">
        <v>153</v>
      </c>
      <c r="M1" s="14" t="s">
        <v>155</v>
      </c>
      <c r="N1" s="14" t="s">
        <v>153</v>
      </c>
      <c r="P1" s="14" t="s">
        <v>156</v>
      </c>
      <c r="Q1" s="14" t="s">
        <v>153</v>
      </c>
      <c r="S1" s="14" t="s">
        <v>157</v>
      </c>
      <c r="T1" s="14" t="s">
        <v>158</v>
      </c>
      <c r="W1" s="14" t="s">
        <v>159</v>
      </c>
      <c r="X1" s="14" t="s">
        <v>151</v>
      </c>
    </row>
    <row r="2" spans="1:24">
      <c r="A2" s="12" t="s">
        <v>160</v>
      </c>
      <c r="B2" s="12">
        <f>COUNTA('Raw Data'!$A$2:$A$51)</f>
        <v>50</v>
      </c>
      <c r="D2" s="12" t="s">
        <v>30</v>
      </c>
      <c r="E2" s="12">
        <v>4</v>
      </c>
      <c r="G2" s="12" t="s">
        <v>74</v>
      </c>
      <c r="H2" s="12">
        <v>3</v>
      </c>
      <c r="J2" s="12">
        <v>2000</v>
      </c>
      <c r="K2" s="12">
        <v>2</v>
      </c>
      <c r="M2" s="12" t="s">
        <v>161</v>
      </c>
      <c r="N2" s="12">
        <v>6</v>
      </c>
      <c r="P2" s="12" t="s">
        <v>162</v>
      </c>
      <c r="Q2" s="12">
        <v>4</v>
      </c>
      <c r="S2" s="12" t="s">
        <v>19</v>
      </c>
      <c r="T2" s="13">
        <f>IF($T$8="All",AVERAGE('Raw Data'!$G$2:$G$51),AVERAGEIF('Raw Data'!$D$2:$D$51,$T$8,'Raw Data'!$G$2:$G$51))</f>
        <v>64.58</v>
      </c>
      <c r="W2" s="12" t="s">
        <v>163</v>
      </c>
      <c r="X2" s="12">
        <f>IF(Analysis!$T$8="All",COUNTA('Raw Data'!$A$2:$A$51),COUNTIF('Raw Data'!$D$2:$D$51,Analysis!$T$8))</f>
        <v>50</v>
      </c>
    </row>
    <row r="3" spans="1:24">
      <c r="A3" s="12" t="s">
        <v>164</v>
      </c>
      <c r="B3" s="12">
        <f>AVERAGE('Raw Data'!$O$2:$O$51)</f>
        <v>60.2</v>
      </c>
      <c r="D3" s="12" t="s">
        <v>61</v>
      </c>
      <c r="E3" s="12">
        <v>4</v>
      </c>
      <c r="G3" s="12" t="s">
        <v>55</v>
      </c>
      <c r="H3" s="12">
        <v>2</v>
      </c>
      <c r="J3" s="12">
        <v>2001</v>
      </c>
      <c r="K3" s="12">
        <v>1</v>
      </c>
      <c r="M3" s="12" t="s">
        <v>165</v>
      </c>
      <c r="N3" s="12">
        <v>21</v>
      </c>
      <c r="P3" s="12" t="s">
        <v>166</v>
      </c>
      <c r="Q3" s="12">
        <v>20</v>
      </c>
      <c r="S3" s="12" t="s">
        <v>20</v>
      </c>
      <c r="T3" s="13">
        <f>IF($T$8="All",AVERAGE('Raw Data'!$H$2:$H$51),AVERAGEIF('Raw Data'!$D$2:$D$51,$T$8,'Raw Data'!$H$2:$H$51))</f>
        <v>53.8</v>
      </c>
      <c r="W3" s="12" t="s">
        <v>167</v>
      </c>
      <c r="X3" s="12">
        <f>IF(Analysis!$T$8="All",AVERAGE('Raw Data'!$O$2:$O$51),AVERAGEIF('Raw Data'!$D$2:$D$51,Analysis!$T$8,'Raw Data'!$O$2:$O$51))</f>
        <v>60.2</v>
      </c>
    </row>
    <row r="4" spans="1:24">
      <c r="A4" s="12" t="s">
        <v>168</v>
      </c>
      <c r="B4" s="12">
        <f>AVERAGE('Raw Data'!$H$2:$H$51)</f>
        <v>53.8</v>
      </c>
      <c r="D4" s="12" t="s">
        <v>51</v>
      </c>
      <c r="E4" s="12">
        <v>4</v>
      </c>
      <c r="G4" s="12" t="s">
        <v>38</v>
      </c>
      <c r="H4" s="12">
        <v>2</v>
      </c>
      <c r="J4" s="12">
        <v>2002</v>
      </c>
      <c r="K4" s="12">
        <v>11</v>
      </c>
      <c r="M4" s="12" t="s">
        <v>169</v>
      </c>
      <c r="N4" s="12">
        <v>23</v>
      </c>
      <c r="P4" s="12" t="s">
        <v>170</v>
      </c>
      <c r="Q4" s="12">
        <v>23</v>
      </c>
      <c r="S4" s="12" t="s">
        <v>23</v>
      </c>
      <c r="T4" s="13">
        <f>IF($T$8="All",AVERAGE('Raw Data'!$K$2:$K$51),AVERAGEIF('Raw Data'!$D$2:$D$51,$T$8,'Raw Data'!$K$2:$K$51))</f>
        <v>46.84</v>
      </c>
      <c r="W4" s="12" t="s">
        <v>171</v>
      </c>
      <c r="X4" s="12">
        <f>IF(Analysis!$T$8="All",AVERAGE('Raw Data'!$G$2:$G$51),AVERAGEIF('Raw Data'!$D$2:$D$51,Analysis!$T$8,'Raw Data'!$G$2:$G$51))</f>
        <v>64.58</v>
      </c>
    </row>
    <row r="5" spans="1:24">
      <c r="A5" s="12" t="s">
        <v>172</v>
      </c>
      <c r="B5" s="12">
        <f>AVERAGE('Raw Data'!$G$2:$G$51)</f>
        <v>64.58</v>
      </c>
      <c r="D5" s="12" t="s">
        <v>33</v>
      </c>
      <c r="E5" s="12">
        <v>3</v>
      </c>
      <c r="G5" s="12" t="s">
        <v>29</v>
      </c>
      <c r="H5" s="12">
        <v>2</v>
      </c>
      <c r="J5" s="12">
        <v>2003</v>
      </c>
      <c r="K5" s="12">
        <v>3</v>
      </c>
      <c r="P5" s="12" t="s">
        <v>173</v>
      </c>
      <c r="Q5" s="12">
        <v>3</v>
      </c>
      <c r="S5" s="12" t="s">
        <v>25</v>
      </c>
      <c r="T5" s="13">
        <f>IF($T$8="All",AVERAGE('Raw Data'!$M$2:$M$51),AVERAGEIF('Raw Data'!$D$2:$D$51,$T$8,'Raw Data'!$M$2:$M$51))</f>
        <v>20.92</v>
      </c>
      <c r="W5" s="12" t="s">
        <v>174</v>
      </c>
      <c r="X5" s="12">
        <f>IF(Analysis!$T$8="All",AVERAGE('Raw Data'!$H$2:$H$51),AVERAGEIF('Raw Data'!$D$2:$D$51,Analysis!$T$8,'Raw Data'!$H$2:$H$51))</f>
        <v>53.8</v>
      </c>
    </row>
    <row r="6" spans="1:24">
      <c r="A6" s="12" t="s">
        <v>175</v>
      </c>
      <c r="B6" s="12">
        <f>AVERAGE('Raw Data'!$F$2:$F$51)</f>
        <v>125.28</v>
      </c>
      <c r="D6" s="12" t="s">
        <v>39</v>
      </c>
      <c r="E6" s="12">
        <v>3</v>
      </c>
      <c r="G6" s="12" t="s">
        <v>53</v>
      </c>
      <c r="H6" s="12">
        <v>2</v>
      </c>
      <c r="J6" s="12">
        <v>2004</v>
      </c>
      <c r="K6" s="12">
        <v>9</v>
      </c>
      <c r="S6" s="12" t="s">
        <v>22</v>
      </c>
      <c r="T6" s="13">
        <f>IF($T$8="All",AVERAGE('Raw Data'!$J$2:$J$51),AVERAGEIF('Raw Data'!$D$2:$D$51,$T$8,'Raw Data'!$J$2:$J$51))</f>
        <v>19.079999999999998</v>
      </c>
      <c r="W6" s="12" t="s">
        <v>176</v>
      </c>
      <c r="X6" s="12">
        <f>IF(Analysis!$T$8="All",AVERAGE('Raw Data'!$F$2:$F$51),AVERAGEIF('Raw Data'!$D$2:$D$51,Analysis!$T$8,'Raw Data'!$F$2:$F$51))</f>
        <v>125.28</v>
      </c>
    </row>
    <row r="7" spans="1:24">
      <c r="A7" s="12" t="s">
        <v>177</v>
      </c>
      <c r="B7" s="12">
        <f>AVERAGE('Raw Data'!$K$2:$K$51)</f>
        <v>46.84</v>
      </c>
      <c r="D7" s="12" t="s">
        <v>90</v>
      </c>
      <c r="E7" s="12">
        <v>3</v>
      </c>
      <c r="G7" s="12" t="s">
        <v>111</v>
      </c>
      <c r="H7" s="12">
        <v>1</v>
      </c>
      <c r="J7" s="12">
        <v>2005</v>
      </c>
      <c r="K7" s="12">
        <v>6</v>
      </c>
      <c r="S7" s="12" t="s">
        <v>26</v>
      </c>
      <c r="T7" s="13">
        <f>IF($T$8="All",AVERAGE('Raw Data'!$N$2:$N$51),AVERAGEIF('Raw Data'!$D$2:$D$51,$T$8,'Raw Data'!$N$2:$N$51))</f>
        <v>5.52</v>
      </c>
      <c r="W7" s="12" t="s">
        <v>178</v>
      </c>
      <c r="X7" s="12">
        <f>IF(Analysis!$T$8="All",AVERAGE('Raw Data'!$K$2:$K$51),AVERAGEIF('Raw Data'!$D$2:$D$51,Analysis!$T$8,'Raw Data'!$K$2:$K$51))</f>
        <v>46.84</v>
      </c>
    </row>
    <row r="8" spans="1:24">
      <c r="A8" s="12" t="s">
        <v>179</v>
      </c>
      <c r="B8" s="12">
        <f>AVERAGE('Raw Data'!$M$2:$M$51)</f>
        <v>20.92</v>
      </c>
      <c r="D8" s="12" t="s">
        <v>75</v>
      </c>
      <c r="E8" s="12">
        <v>3</v>
      </c>
      <c r="G8" s="12" t="s">
        <v>77</v>
      </c>
      <c r="H8" s="12">
        <v>1</v>
      </c>
      <c r="J8" s="12">
        <v>2006</v>
      </c>
      <c r="K8" s="12">
        <v>5</v>
      </c>
      <c r="S8" s="12" t="s">
        <v>180</v>
      </c>
      <c r="T8" s="12" t="str">
        <f>Dashboard!A6</f>
        <v>All</v>
      </c>
    </row>
    <row r="9" spans="1:24">
      <c r="A9" s="12" t="s">
        <v>181</v>
      </c>
      <c r="B9" s="12">
        <f>AVERAGE('Raw Data'!$I$2:$I$51)</f>
        <v>-7.38</v>
      </c>
      <c r="D9" s="12" t="s">
        <v>112</v>
      </c>
      <c r="E9" s="12">
        <v>2</v>
      </c>
      <c r="G9" s="12" t="s">
        <v>115</v>
      </c>
      <c r="H9" s="12">
        <v>1</v>
      </c>
      <c r="J9" s="12">
        <v>2007</v>
      </c>
      <c r="K9" s="12">
        <v>5</v>
      </c>
    </row>
    <row r="10" spans="1:24">
      <c r="A10" s="12" t="s">
        <v>182</v>
      </c>
      <c r="B10" s="12">
        <f>AVERAGE('Raw Data'!$L$2:$L$51)</f>
        <v>268.12</v>
      </c>
      <c r="D10" s="12" t="s">
        <v>80</v>
      </c>
      <c r="E10" s="12">
        <v>2</v>
      </c>
      <c r="G10" s="12" t="s">
        <v>68</v>
      </c>
      <c r="H10" s="12">
        <v>1</v>
      </c>
      <c r="J10" s="12">
        <v>2008</v>
      </c>
      <c r="K10" s="12">
        <v>4</v>
      </c>
    </row>
    <row r="11" spans="1:24">
      <c r="A11" s="12" t="s">
        <v>183</v>
      </c>
      <c r="B11" s="12">
        <f>COUNTA(Lists!$A$2:$A$20)</f>
        <v>19</v>
      </c>
      <c r="D11" s="12" t="s">
        <v>83</v>
      </c>
      <c r="E11" s="12">
        <v>2</v>
      </c>
      <c r="G11" s="12" t="s">
        <v>93</v>
      </c>
      <c r="H11" s="12">
        <v>1</v>
      </c>
      <c r="J11" s="12">
        <v>2009</v>
      </c>
      <c r="K11" s="12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Lists!$A$2:$A$20</xm:f>
          </x14:formula1>
          <xm:sqref>T8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3.8"/>
  <cols>
    <col min="1" max="1" width="24" customWidth="1"/>
    <col min="2" max="2" width="100" customWidth="1"/>
  </cols>
  <sheetData>
    <row r="1" spans="1:2">
      <c r="A1" s="1" t="s">
        <v>184</v>
      </c>
      <c r="B1" s="1" t="s">
        <v>185</v>
      </c>
    </row>
    <row r="2" spans="1:2">
      <c r="A2" s="15" t="s">
        <v>186</v>
      </c>
      <c r="B2" s="15" t="s">
        <v>187</v>
      </c>
    </row>
    <row r="3" spans="1:2">
      <c r="A3" s="15" t="s">
        <v>188</v>
      </c>
      <c r="B3" s="15" t="s">
        <v>189</v>
      </c>
    </row>
    <row r="4" spans="1:2">
      <c r="A4" s="15" t="s">
        <v>190</v>
      </c>
      <c r="B4" s="15" t="s">
        <v>191</v>
      </c>
    </row>
    <row r="5" spans="1:2" ht="27.6">
      <c r="A5" s="15" t="s">
        <v>192</v>
      </c>
      <c r="B5" s="15" t="s">
        <v>193</v>
      </c>
    </row>
    <row r="6" spans="1:2">
      <c r="A6" s="15" t="s">
        <v>194</v>
      </c>
      <c r="B6" s="15" t="s">
        <v>195</v>
      </c>
    </row>
    <row r="7" spans="1:2">
      <c r="A7" s="15" t="s">
        <v>196</v>
      </c>
      <c r="B7" s="15" t="s">
        <v>197</v>
      </c>
    </row>
    <row r="8" spans="1:2">
      <c r="A8" s="15" t="s">
        <v>198</v>
      </c>
      <c r="B8" s="15" t="s">
        <v>199</v>
      </c>
    </row>
    <row r="9" spans="1:2" ht="27.6">
      <c r="A9" s="15" t="s">
        <v>200</v>
      </c>
      <c r="B9" s="15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"/>
  <sheetViews>
    <sheetView workbookViewId="0"/>
  </sheetViews>
  <sheetFormatPr defaultRowHeight="13.8"/>
  <cols>
    <col min="1" max="1" width="24" customWidth="1"/>
    <col min="3" max="3" width="24" customWidth="1"/>
  </cols>
  <sheetData>
    <row r="1" spans="1:3">
      <c r="A1" s="5" t="s">
        <v>202</v>
      </c>
      <c r="B1" s="5"/>
      <c r="C1" s="5" t="s">
        <v>15</v>
      </c>
    </row>
    <row r="2" spans="1:3">
      <c r="A2" t="s">
        <v>4</v>
      </c>
      <c r="C2" t="s">
        <v>4</v>
      </c>
    </row>
    <row r="3" spans="1:3">
      <c r="A3" t="s">
        <v>30</v>
      </c>
      <c r="C3" t="s">
        <v>111</v>
      </c>
    </row>
    <row r="4" spans="1:3">
      <c r="A4" t="s">
        <v>106</v>
      </c>
      <c r="C4" t="s">
        <v>77</v>
      </c>
    </row>
    <row r="5" spans="1:3">
      <c r="A5" t="s">
        <v>33</v>
      </c>
      <c r="C5" t="s">
        <v>115</v>
      </c>
    </row>
    <row r="6" spans="1:3">
      <c r="A6" t="s">
        <v>99</v>
      </c>
      <c r="C6" t="s">
        <v>68</v>
      </c>
    </row>
    <row r="7" spans="1:3">
      <c r="A7" t="s">
        <v>36</v>
      </c>
      <c r="C7" t="s">
        <v>93</v>
      </c>
    </row>
    <row r="8" spans="1:3">
      <c r="A8" t="s">
        <v>39</v>
      </c>
      <c r="C8" t="s">
        <v>146</v>
      </c>
    </row>
    <row r="9" spans="1:3">
      <c r="A9" t="s">
        <v>45</v>
      </c>
      <c r="C9" t="s">
        <v>41</v>
      </c>
    </row>
    <row r="10" spans="1:3">
      <c r="A10" t="s">
        <v>61</v>
      </c>
      <c r="C10" t="s">
        <v>44</v>
      </c>
    </row>
    <row r="11" spans="1:3">
      <c r="A11" t="s">
        <v>142</v>
      </c>
      <c r="C11" t="s">
        <v>74</v>
      </c>
    </row>
    <row r="12" spans="1:3">
      <c r="A12" t="s">
        <v>131</v>
      </c>
      <c r="C12" t="s">
        <v>63</v>
      </c>
    </row>
    <row r="13" spans="1:3">
      <c r="A13" t="s">
        <v>112</v>
      </c>
      <c r="C13" t="s">
        <v>32</v>
      </c>
    </row>
    <row r="14" spans="1:3">
      <c r="A14" t="s">
        <v>42</v>
      </c>
      <c r="C14" t="s">
        <v>98</v>
      </c>
    </row>
    <row r="15" spans="1:3">
      <c r="A15" t="s">
        <v>80</v>
      </c>
      <c r="C15" t="s">
        <v>58</v>
      </c>
    </row>
    <row r="16" spans="1:3">
      <c r="A16" t="s">
        <v>83</v>
      </c>
      <c r="C16" t="s">
        <v>55</v>
      </c>
    </row>
    <row r="17" spans="1:3">
      <c r="A17" t="s">
        <v>149</v>
      </c>
      <c r="C17" t="s">
        <v>38</v>
      </c>
    </row>
    <row r="18" spans="1:3">
      <c r="A18" t="s">
        <v>56</v>
      </c>
      <c r="C18" t="s">
        <v>133</v>
      </c>
    </row>
    <row r="19" spans="1:3">
      <c r="A19" t="s">
        <v>128</v>
      </c>
      <c r="C19" t="s">
        <v>35</v>
      </c>
    </row>
    <row r="20" spans="1:3">
      <c r="A20" t="s">
        <v>96</v>
      </c>
      <c r="C20" t="s">
        <v>135</v>
      </c>
    </row>
    <row r="21" spans="1:3">
      <c r="A21" t="s">
        <v>72</v>
      </c>
      <c r="C21" t="s">
        <v>125</v>
      </c>
    </row>
    <row r="22" spans="1:3">
      <c r="A22" t="s">
        <v>64</v>
      </c>
      <c r="C22" t="s">
        <v>102</v>
      </c>
    </row>
    <row r="23" spans="1:3">
      <c r="A23" t="s">
        <v>90</v>
      </c>
      <c r="C23" t="s">
        <v>95</v>
      </c>
    </row>
    <row r="24" spans="1:3">
      <c r="A24" t="s">
        <v>69</v>
      </c>
      <c r="C24" t="s">
        <v>89</v>
      </c>
    </row>
    <row r="25" spans="1:3">
      <c r="A25" t="s">
        <v>103</v>
      </c>
      <c r="C25" t="s">
        <v>79</v>
      </c>
    </row>
    <row r="26" spans="1:3">
      <c r="A26" t="s">
        <v>122</v>
      </c>
      <c r="C26" t="s">
        <v>82</v>
      </c>
    </row>
    <row r="27" spans="1:3">
      <c r="A27" t="s">
        <v>87</v>
      </c>
      <c r="C27" t="s">
        <v>137</v>
      </c>
    </row>
    <row r="28" spans="1:3">
      <c r="A28" t="s">
        <v>51</v>
      </c>
      <c r="C28" t="s">
        <v>141</v>
      </c>
    </row>
    <row r="29" spans="1:3">
      <c r="A29" t="s">
        <v>75</v>
      </c>
      <c r="C29" t="s">
        <v>47</v>
      </c>
    </row>
    <row r="30" spans="1:3">
      <c r="A30" t="s">
        <v>48</v>
      </c>
      <c r="C30" t="s">
        <v>86</v>
      </c>
    </row>
    <row r="31" spans="1:3">
      <c r="C31" t="s">
        <v>50</v>
      </c>
    </row>
    <row r="32" spans="1:3">
      <c r="C32" t="s">
        <v>29</v>
      </c>
    </row>
    <row r="33" spans="3:3">
      <c r="C33" t="s">
        <v>71</v>
      </c>
    </row>
    <row r="34" spans="3:3">
      <c r="C34" t="s">
        <v>139</v>
      </c>
    </row>
    <row r="35" spans="3:3">
      <c r="C35" t="s">
        <v>109</v>
      </c>
    </row>
    <row r="36" spans="3:3">
      <c r="C36" t="s">
        <v>117</v>
      </c>
    </row>
    <row r="37" spans="3:3">
      <c r="C37" t="s">
        <v>127</v>
      </c>
    </row>
    <row r="38" spans="3:3">
      <c r="C38" t="s">
        <v>148</v>
      </c>
    </row>
    <row r="39" spans="3:3">
      <c r="C39" t="s">
        <v>144</v>
      </c>
    </row>
    <row r="40" spans="3:3">
      <c r="C40" t="s">
        <v>66</v>
      </c>
    </row>
    <row r="41" spans="3:3">
      <c r="C41" t="s">
        <v>119</v>
      </c>
    </row>
    <row r="42" spans="3:3">
      <c r="C42" t="s">
        <v>53</v>
      </c>
    </row>
    <row r="43" spans="3:3">
      <c r="C43" t="s">
        <v>60</v>
      </c>
    </row>
    <row r="44" spans="3:3">
      <c r="C44" t="s">
        <v>130</v>
      </c>
    </row>
    <row r="45" spans="3:3">
      <c r="C45" t="s">
        <v>121</v>
      </c>
    </row>
    <row r="46" spans="3:3">
      <c r="C4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 Data</vt:lpstr>
      <vt:lpstr>Analysis</vt:lpstr>
      <vt:lpstr>Source &amp; Notes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AZEEM</dc:creator>
  <cp:lastModifiedBy>MOHAMMAD AZEEM</cp:lastModifiedBy>
  <dcterms:created xsi:type="dcterms:W3CDTF">2026-09-21T16:27:34Z</dcterms:created>
  <dcterms:modified xsi:type="dcterms:W3CDTF">2026-09-21T16:27:34Z</dcterms:modified>
</cp:coreProperties>
</file>